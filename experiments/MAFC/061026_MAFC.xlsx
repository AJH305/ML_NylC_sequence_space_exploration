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eff594459d09d97/Dokumente/Bachelorarbeit/ML_NylC/experiments/MAFC/"/>
    </mc:Choice>
  </mc:AlternateContent>
  <xr:revisionPtr revIDLastSave="24" documentId="13_ncr:1_{4171736B-F492-415C-B189-02BCC22612EA}" xr6:coauthVersionLast="47" xr6:coauthVersionMax="47" xr10:uidLastSave="{61DF2BC1-3762-4573-8707-7A9FF642C65B}"/>
  <bookViews>
    <workbookView xWindow="-120" yWindow="-120" windowWidth="16440" windowHeight="28320" xr2:uid="{00000000-000D-0000-FFFF-FFFF00000000}"/>
  </bookViews>
  <sheets>
    <sheet name="Microplate End point" sheetId="2" r:id="rId1"/>
    <sheet name="Table End poin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5" i="2" l="1"/>
  <c r="C55" i="2"/>
  <c r="C85" i="2"/>
  <c r="C39" i="2"/>
  <c r="Q57" i="2"/>
  <c r="Q55" i="2"/>
  <c r="C101" i="2"/>
  <c r="D55" i="2"/>
  <c r="C56" i="2"/>
  <c r="B75" i="2"/>
  <c r="C75" i="2"/>
  <c r="D75" i="2"/>
  <c r="E75" i="2"/>
  <c r="F75" i="2"/>
  <c r="G75" i="2"/>
  <c r="H75" i="2"/>
  <c r="I75" i="2"/>
  <c r="J75" i="2"/>
  <c r="K75" i="2"/>
  <c r="L75" i="2"/>
  <c r="M75" i="2"/>
  <c r="B76" i="2"/>
  <c r="C76" i="2"/>
  <c r="D76" i="2"/>
  <c r="E76" i="2"/>
  <c r="F76" i="2"/>
  <c r="G76" i="2"/>
  <c r="H76" i="2"/>
  <c r="I76" i="2"/>
  <c r="J76" i="2"/>
  <c r="K76" i="2"/>
  <c r="L76" i="2"/>
  <c r="M76" i="2"/>
  <c r="B77" i="2"/>
  <c r="C77" i="2"/>
  <c r="D77" i="2"/>
  <c r="E77" i="2"/>
  <c r="F77" i="2"/>
  <c r="G77" i="2"/>
  <c r="H77" i="2"/>
  <c r="I77" i="2"/>
  <c r="J77" i="2"/>
  <c r="K77" i="2"/>
  <c r="L77" i="2"/>
  <c r="M77" i="2"/>
  <c r="B78" i="2"/>
  <c r="C78" i="2"/>
  <c r="D78" i="2"/>
  <c r="E78" i="2"/>
  <c r="F78" i="2"/>
  <c r="G78" i="2"/>
  <c r="H78" i="2"/>
  <c r="I78" i="2"/>
  <c r="J78" i="2"/>
  <c r="K78" i="2"/>
  <c r="L78" i="2"/>
  <c r="M78" i="2"/>
  <c r="B79" i="2"/>
  <c r="C79" i="2"/>
  <c r="D79" i="2"/>
  <c r="E79" i="2"/>
  <c r="F79" i="2"/>
  <c r="G79" i="2"/>
  <c r="H79" i="2"/>
  <c r="I79" i="2"/>
  <c r="J79" i="2"/>
  <c r="K79" i="2"/>
  <c r="L79" i="2"/>
  <c r="M79" i="2"/>
  <c r="B80" i="2"/>
  <c r="C80" i="2"/>
  <c r="D80" i="2"/>
  <c r="E80" i="2"/>
  <c r="F80" i="2"/>
  <c r="G80" i="2"/>
  <c r="H80" i="2"/>
  <c r="I80" i="2"/>
  <c r="J80" i="2"/>
  <c r="K80" i="2"/>
  <c r="L80" i="2"/>
  <c r="M80" i="2"/>
  <c r="C74" i="2"/>
  <c r="D74" i="2"/>
  <c r="E74" i="2"/>
  <c r="F74" i="2"/>
  <c r="G74" i="2"/>
  <c r="H74" i="2"/>
  <c r="I74" i="2"/>
  <c r="J74" i="2"/>
  <c r="K74" i="2"/>
  <c r="L74" i="2"/>
  <c r="M74" i="2"/>
  <c r="B74" i="2"/>
  <c r="D93" i="2"/>
  <c r="D102" i="2"/>
  <c r="C102" i="2"/>
  <c r="C93" i="2"/>
  <c r="P29" i="2"/>
  <c r="Q29" i="2"/>
  <c r="R29" i="2"/>
  <c r="S29" i="2"/>
  <c r="T29" i="2"/>
  <c r="U29" i="2"/>
  <c r="V29" i="2"/>
  <c r="W29" i="2"/>
  <c r="X29" i="2"/>
  <c r="Y29" i="2"/>
  <c r="Z29" i="2"/>
  <c r="AA29" i="2"/>
  <c r="P30" i="2"/>
  <c r="Q30" i="2"/>
  <c r="R30" i="2"/>
  <c r="S30" i="2"/>
  <c r="T30" i="2"/>
  <c r="Q47" i="2" s="1"/>
  <c r="U30" i="2"/>
  <c r="V30" i="2"/>
  <c r="Q48" i="2" s="1"/>
  <c r="W30" i="2"/>
  <c r="X30" i="2"/>
  <c r="Y30" i="2"/>
  <c r="Q49" i="2" s="1"/>
  <c r="Z30" i="2"/>
  <c r="AA30" i="2"/>
  <c r="P31" i="2"/>
  <c r="Q31" i="2"/>
  <c r="R31" i="2"/>
  <c r="S31" i="2"/>
  <c r="T31" i="2"/>
  <c r="U31" i="2"/>
  <c r="V31" i="2"/>
  <c r="W31" i="2"/>
  <c r="X31" i="2"/>
  <c r="Y31" i="2"/>
  <c r="Z31" i="2"/>
  <c r="AA31" i="2"/>
  <c r="P32" i="2"/>
  <c r="Q32" i="2"/>
  <c r="Q54" i="2" s="1"/>
  <c r="R32" i="2"/>
  <c r="S32" i="2"/>
  <c r="T32" i="2"/>
  <c r="U32" i="2"/>
  <c r="V32" i="2"/>
  <c r="W32" i="2"/>
  <c r="Q56" i="2" s="1"/>
  <c r="X32" i="2"/>
  <c r="Y32" i="2"/>
  <c r="Z32" i="2"/>
  <c r="AA32" i="2"/>
  <c r="P33" i="2"/>
  <c r="Q33" i="2"/>
  <c r="R33" i="2"/>
  <c r="S33" i="2"/>
  <c r="T33" i="2"/>
  <c r="U33" i="2"/>
  <c r="R60" i="2" s="1"/>
  <c r="V33" i="2"/>
  <c r="R61" i="2" s="1"/>
  <c r="W33" i="2"/>
  <c r="X33" i="2"/>
  <c r="Y33" i="2"/>
  <c r="Z33" i="2"/>
  <c r="AA33" i="2"/>
  <c r="P34" i="2"/>
  <c r="Q34" i="2"/>
  <c r="R34" i="2"/>
  <c r="S34" i="2"/>
  <c r="T34" i="2"/>
  <c r="U34" i="2"/>
  <c r="V34" i="2"/>
  <c r="W34" i="2"/>
  <c r="X34" i="2"/>
  <c r="Y34" i="2"/>
  <c r="Z34" i="2"/>
  <c r="AA34" i="2"/>
  <c r="Q28" i="2"/>
  <c r="R28" i="2"/>
  <c r="S28" i="2"/>
  <c r="T28" i="2"/>
  <c r="U28" i="2"/>
  <c r="V28" i="2"/>
  <c r="W28" i="2"/>
  <c r="X28" i="2"/>
  <c r="Y28" i="2"/>
  <c r="Z28" i="2"/>
  <c r="AA28" i="2"/>
  <c r="R56" i="2"/>
  <c r="R55" i="2"/>
  <c r="R54" i="2"/>
  <c r="R49" i="2"/>
  <c r="R48" i="2"/>
  <c r="R47" i="2"/>
  <c r="R43" i="2"/>
  <c r="Q43" i="2"/>
  <c r="R42" i="2"/>
  <c r="Q42" i="2"/>
  <c r="R41" i="2"/>
  <c r="Q41" i="2"/>
  <c r="R40" i="2"/>
  <c r="Q40" i="2"/>
  <c r="R39" i="2"/>
  <c r="Q39" i="2"/>
  <c r="R38" i="2"/>
  <c r="Q38" i="2"/>
  <c r="Q61" i="2"/>
  <c r="Q60" i="2"/>
  <c r="C40" i="2"/>
  <c r="D61" i="2"/>
  <c r="D60" i="2"/>
  <c r="D59" i="2"/>
  <c r="D58" i="2"/>
  <c r="D57" i="2"/>
  <c r="D54" i="2"/>
  <c r="D52" i="2"/>
  <c r="D50" i="2"/>
  <c r="D49" i="2"/>
  <c r="D46" i="2"/>
  <c r="D44" i="2"/>
  <c r="D43" i="2"/>
  <c r="D42" i="2"/>
  <c r="D41" i="2"/>
  <c r="D40" i="2"/>
  <c r="D39" i="2"/>
  <c r="D38" i="2"/>
  <c r="C61" i="2"/>
  <c r="C60" i="2"/>
  <c r="C59" i="2"/>
  <c r="C58" i="2"/>
  <c r="C57" i="2"/>
  <c r="C54" i="2"/>
  <c r="C52" i="2"/>
  <c r="C51" i="2"/>
  <c r="C50" i="2"/>
  <c r="C49" i="2"/>
  <c r="C48" i="2"/>
  <c r="C47" i="2"/>
  <c r="C46" i="2"/>
  <c r="C45" i="2"/>
  <c r="C44" i="2"/>
  <c r="C43" i="2"/>
  <c r="C38" i="2"/>
  <c r="C24" i="2"/>
  <c r="B29" i="2"/>
  <c r="C29" i="2"/>
  <c r="D29" i="2"/>
  <c r="E29" i="2"/>
  <c r="F29" i="2"/>
  <c r="G29" i="2"/>
  <c r="H29" i="2"/>
  <c r="I29" i="2"/>
  <c r="J29" i="2"/>
  <c r="K29" i="2"/>
  <c r="M29" i="2"/>
  <c r="B30" i="2"/>
  <c r="C30" i="2"/>
  <c r="D30" i="2"/>
  <c r="E30" i="2"/>
  <c r="F30" i="2"/>
  <c r="G30" i="2"/>
  <c r="H30" i="2"/>
  <c r="I30" i="2"/>
  <c r="J30" i="2"/>
  <c r="K30" i="2"/>
  <c r="M30" i="2"/>
  <c r="D31" i="2"/>
  <c r="E31" i="2"/>
  <c r="F31" i="2"/>
  <c r="G31" i="2"/>
  <c r="H31" i="2"/>
  <c r="I31" i="2"/>
  <c r="K31" i="2"/>
  <c r="L31" i="2"/>
  <c r="M31" i="2"/>
  <c r="C32" i="2"/>
  <c r="D32" i="2"/>
  <c r="E32" i="2"/>
  <c r="F32" i="2"/>
  <c r="I32" i="2"/>
  <c r="K32" i="2"/>
  <c r="L32" i="2"/>
  <c r="M32" i="2"/>
  <c r="B33" i="2"/>
  <c r="C33" i="2"/>
  <c r="D33" i="2"/>
  <c r="E33" i="2"/>
  <c r="G33" i="2"/>
  <c r="H33" i="2"/>
  <c r="I33" i="2"/>
  <c r="D34" i="2"/>
  <c r="C28" i="2"/>
  <c r="D28" i="2"/>
  <c r="E28" i="2"/>
  <c r="G28" i="2"/>
  <c r="H28" i="2"/>
  <c r="I28" i="2"/>
  <c r="J28" i="2"/>
  <c r="K28" i="2"/>
  <c r="L28" i="2"/>
  <c r="M28" i="2"/>
  <c r="E102" i="2" l="1"/>
  <c r="E93" i="2"/>
  <c r="S47" i="2"/>
  <c r="S48" i="2"/>
  <c r="S49" i="2"/>
  <c r="S54" i="2"/>
  <c r="S56" i="2"/>
  <c r="S43" i="2"/>
  <c r="S42" i="2"/>
  <c r="S41" i="2"/>
  <c r="S40" i="2"/>
  <c r="S39" i="2"/>
  <c r="S61" i="2"/>
  <c r="S60" i="2"/>
  <c r="D107" i="2"/>
  <c r="C107" i="2"/>
  <c r="E107" i="2" s="1"/>
  <c r="D106" i="2"/>
  <c r="C106" i="2"/>
  <c r="E106" i="2" s="1"/>
  <c r="C105" i="2"/>
  <c r="E105" i="2" s="1"/>
  <c r="D105" i="2"/>
  <c r="D104" i="2"/>
  <c r="C104" i="2"/>
  <c r="E104" i="2" s="1"/>
  <c r="D103" i="2"/>
  <c r="C103" i="2"/>
  <c r="E103" i="2" s="1"/>
  <c r="D101" i="2"/>
  <c r="E101" i="2"/>
  <c r="D100" i="2"/>
  <c r="C100" i="2"/>
  <c r="E100" i="2" s="1"/>
  <c r="C99" i="2"/>
  <c r="E99" i="2" s="1"/>
  <c r="D99" i="2"/>
  <c r="C98" i="2"/>
  <c r="E98" i="2" s="1"/>
  <c r="D98" i="2"/>
  <c r="C97" i="2"/>
  <c r="E97" i="2" s="1"/>
  <c r="D97" i="2"/>
  <c r="C96" i="2"/>
  <c r="E96" i="2" s="1"/>
  <c r="D96" i="2"/>
  <c r="C95" i="2"/>
  <c r="E95" i="2" s="1"/>
  <c r="D95" i="2"/>
  <c r="C94" i="2"/>
  <c r="E94" i="2" s="1"/>
  <c r="D94" i="2"/>
  <c r="D92" i="2"/>
  <c r="C92" i="2"/>
  <c r="E92" i="2" s="1"/>
  <c r="D91" i="2"/>
  <c r="C91" i="2"/>
  <c r="E91" i="2" s="1"/>
  <c r="D90" i="2"/>
  <c r="C90" i="2"/>
  <c r="E90" i="2" s="1"/>
  <c r="D89" i="2"/>
  <c r="C89" i="2"/>
  <c r="E89" i="2" s="1"/>
  <c r="D88" i="2"/>
  <c r="C88" i="2"/>
  <c r="E88" i="2" s="1"/>
  <c r="D87" i="2"/>
  <c r="C87" i="2"/>
  <c r="E87" i="2" s="1"/>
  <c r="C86" i="2"/>
  <c r="E86" i="2" s="1"/>
  <c r="D86" i="2"/>
  <c r="E85" i="2"/>
  <c r="D85" i="2"/>
  <c r="C84" i="2"/>
  <c r="D84" i="2"/>
  <c r="Q59" i="2"/>
  <c r="S59" i="2" s="1"/>
  <c r="R59" i="2"/>
  <c r="R58" i="2"/>
  <c r="Q58" i="2"/>
  <c r="S58" i="2" s="1"/>
  <c r="S57" i="2"/>
  <c r="R57" i="2"/>
  <c r="Q53" i="2"/>
  <c r="S53" i="2" s="1"/>
  <c r="R53" i="2"/>
  <c r="R52" i="2"/>
  <c r="Q52" i="2"/>
  <c r="S52" i="2" s="1"/>
  <c r="Q51" i="2"/>
  <c r="S51" i="2" s="1"/>
  <c r="R51" i="2"/>
  <c r="R50" i="2"/>
  <c r="Q50" i="2"/>
  <c r="S50" i="2" s="1"/>
  <c r="Q46" i="2"/>
  <c r="S46" i="2" s="1"/>
  <c r="R46" i="2"/>
  <c r="R45" i="2"/>
  <c r="Q45" i="2"/>
  <c r="S45" i="2" s="1"/>
  <c r="Q44" i="2"/>
  <c r="R44" i="2"/>
  <c r="D56" i="2"/>
  <c r="C53" i="2"/>
  <c r="D53" i="2"/>
  <c r="D51" i="2"/>
  <c r="D48" i="2"/>
  <c r="D47" i="2"/>
  <c r="C110" i="2" l="1"/>
  <c r="Q64" i="2"/>
  <c r="S44" i="2"/>
  <c r="E46" i="2"/>
  <c r="E45" i="2"/>
  <c r="D45" i="2"/>
  <c r="E44" i="2"/>
  <c r="E43" i="2"/>
  <c r="C42" i="2"/>
  <c r="E40" i="2"/>
  <c r="C41" i="2"/>
  <c r="E42" i="2" l="1"/>
  <c r="E49" i="2"/>
  <c r="E51" i="2"/>
  <c r="E53" i="2"/>
  <c r="E56" i="2"/>
  <c r="E52" i="2"/>
  <c r="E55" i="2"/>
  <c r="E58" i="2"/>
  <c r="E60" i="2"/>
  <c r="E50" i="2"/>
  <c r="E54" i="2"/>
  <c r="E57" i="2"/>
  <c r="E59" i="2"/>
  <c r="E61" i="2"/>
  <c r="E39" i="2"/>
  <c r="E41" i="2"/>
  <c r="C64" i="2"/>
  <c r="E47" i="2"/>
  <c r="E48" i="2"/>
</calcChain>
</file>

<file path=xl/sharedStrings.xml><?xml version="1.0" encoding="utf-8"?>
<sst xmlns="http://schemas.openxmlformats.org/spreadsheetml/2006/main" count="285" uniqueCount="221">
  <si>
    <t>User: HendrikPütz</t>
  </si>
  <si>
    <t>Path: C:\Program Files (x86)\BMG\CLARIOstar\HendrikPütz\Data</t>
  </si>
  <si>
    <t>Test ID: 6</t>
  </si>
  <si>
    <t>Test Name: MAFC</t>
  </si>
  <si>
    <t>Date: 10/6/2026</t>
  </si>
  <si>
    <t>Time: 3:01:26 PM</t>
  </si>
  <si>
    <t>Absorbance</t>
  </si>
  <si>
    <t>Absorbance values are displayed as OD</t>
  </si>
  <si>
    <t>Absorbance values are pathlength corrected based on waterpeak!</t>
  </si>
  <si>
    <t>Well</t>
  </si>
  <si>
    <t>Content</t>
  </si>
  <si>
    <t>Raw Data (494)</t>
  </si>
  <si>
    <t>A01</t>
  </si>
  <si>
    <t>Sample X1</t>
  </si>
  <si>
    <t>A02</t>
  </si>
  <si>
    <t>Sample X2</t>
  </si>
  <si>
    <t>A03</t>
  </si>
  <si>
    <t>Sample X3</t>
  </si>
  <si>
    <t>A04</t>
  </si>
  <si>
    <t>Sample X4</t>
  </si>
  <si>
    <t>A05</t>
  </si>
  <si>
    <t>Sample X5</t>
  </si>
  <si>
    <t>A06</t>
  </si>
  <si>
    <t>Sample X6</t>
  </si>
  <si>
    <t>A07</t>
  </si>
  <si>
    <t>Sample X7</t>
  </si>
  <si>
    <t>A08</t>
  </si>
  <si>
    <t>Sample X8</t>
  </si>
  <si>
    <t>A09</t>
  </si>
  <si>
    <t>Sample X9</t>
  </si>
  <si>
    <t>A10</t>
  </si>
  <si>
    <t>Sample X10</t>
  </si>
  <si>
    <t>A11</t>
  </si>
  <si>
    <t>Sample X11</t>
  </si>
  <si>
    <t>A12</t>
  </si>
  <si>
    <t>Sample X12</t>
  </si>
  <si>
    <t>B01</t>
  </si>
  <si>
    <t>Sample X13</t>
  </si>
  <si>
    <t>B02</t>
  </si>
  <si>
    <t>Sample X14</t>
  </si>
  <si>
    <t>B03</t>
  </si>
  <si>
    <t>Sample X15</t>
  </si>
  <si>
    <t>B04</t>
  </si>
  <si>
    <t>Sample X16</t>
  </si>
  <si>
    <t>B05</t>
  </si>
  <si>
    <t>Sample X17</t>
  </si>
  <si>
    <t>B06</t>
  </si>
  <si>
    <t>Sample X18</t>
  </si>
  <si>
    <t>B07</t>
  </si>
  <si>
    <t>Sample X19</t>
  </si>
  <si>
    <t>B08</t>
  </si>
  <si>
    <t>Sample X20</t>
  </si>
  <si>
    <t>B09</t>
  </si>
  <si>
    <t>Sample X21</t>
  </si>
  <si>
    <t>B10</t>
  </si>
  <si>
    <t>Sample X22</t>
  </si>
  <si>
    <t>B11</t>
  </si>
  <si>
    <t>Sample X23</t>
  </si>
  <si>
    <t>B12</t>
  </si>
  <si>
    <t>Sample X24</t>
  </si>
  <si>
    <t>C01</t>
  </si>
  <si>
    <t>Sample X25</t>
  </si>
  <si>
    <t>C02</t>
  </si>
  <si>
    <t>Sample X26</t>
  </si>
  <si>
    <t>C03</t>
  </si>
  <si>
    <t>Sample X27</t>
  </si>
  <si>
    <t>C04</t>
  </si>
  <si>
    <t>Sample X28</t>
  </si>
  <si>
    <t>C05</t>
  </si>
  <si>
    <t>Sample X29</t>
  </si>
  <si>
    <t>C06</t>
  </si>
  <si>
    <t>Sample X30</t>
  </si>
  <si>
    <t>C07</t>
  </si>
  <si>
    <t>Sample X31</t>
  </si>
  <si>
    <t>C08</t>
  </si>
  <si>
    <t>Sample X32</t>
  </si>
  <si>
    <t>C09</t>
  </si>
  <si>
    <t>Sample X33</t>
  </si>
  <si>
    <t>C10</t>
  </si>
  <si>
    <t>Sample X34</t>
  </si>
  <si>
    <t>C11</t>
  </si>
  <si>
    <t>Sample X35</t>
  </si>
  <si>
    <t>C12</t>
  </si>
  <si>
    <t>Sample X36</t>
  </si>
  <si>
    <t>D01</t>
  </si>
  <si>
    <t>Sample X37</t>
  </si>
  <si>
    <t>D02</t>
  </si>
  <si>
    <t>Sample X38</t>
  </si>
  <si>
    <t>D03</t>
  </si>
  <si>
    <t>Sample X39</t>
  </si>
  <si>
    <t>D04</t>
  </si>
  <si>
    <t>Sample X40</t>
  </si>
  <si>
    <t>D05</t>
  </si>
  <si>
    <t>Sample X41</t>
  </si>
  <si>
    <t>D06</t>
  </si>
  <si>
    <t>Sample X42</t>
  </si>
  <si>
    <t>D07</t>
  </si>
  <si>
    <t>Sample X43</t>
  </si>
  <si>
    <t>D08</t>
  </si>
  <si>
    <t>Sample X44</t>
  </si>
  <si>
    <t>D09</t>
  </si>
  <si>
    <t>Sample X45</t>
  </si>
  <si>
    <t>D10</t>
  </si>
  <si>
    <t>Sample X46</t>
  </si>
  <si>
    <t>D11</t>
  </si>
  <si>
    <t>Sample X47</t>
  </si>
  <si>
    <t>D12</t>
  </si>
  <si>
    <t>Sample X48</t>
  </si>
  <si>
    <t>E01</t>
  </si>
  <si>
    <t>Sample X49</t>
  </si>
  <si>
    <t>E02</t>
  </si>
  <si>
    <t>Sample X50</t>
  </si>
  <si>
    <t>E03</t>
  </si>
  <si>
    <t>Sample X51</t>
  </si>
  <si>
    <t>E04</t>
  </si>
  <si>
    <t>Sample X52</t>
  </si>
  <si>
    <t>E05</t>
  </si>
  <si>
    <t>Sample X53</t>
  </si>
  <si>
    <t>E06</t>
  </si>
  <si>
    <t>Sample X54</t>
  </si>
  <si>
    <t>E07</t>
  </si>
  <si>
    <t>Sample X55</t>
  </si>
  <si>
    <t>E08</t>
  </si>
  <si>
    <t>Sample X56</t>
  </si>
  <si>
    <t>E09</t>
  </si>
  <si>
    <t>Sample X57</t>
  </si>
  <si>
    <t>E10</t>
  </si>
  <si>
    <t>Sample X58</t>
  </si>
  <si>
    <t>E11</t>
  </si>
  <si>
    <t>Sample X59</t>
  </si>
  <si>
    <t>E12</t>
  </si>
  <si>
    <t>Sample X60</t>
  </si>
  <si>
    <t>F01</t>
  </si>
  <si>
    <t>Sample X61</t>
  </si>
  <si>
    <t>F02</t>
  </si>
  <si>
    <t>Sample X62</t>
  </si>
  <si>
    <t>F03</t>
  </si>
  <si>
    <t>Sample X63</t>
  </si>
  <si>
    <t>F04</t>
  </si>
  <si>
    <t>Sample X64</t>
  </si>
  <si>
    <t>F05</t>
  </si>
  <si>
    <t>Sample X65</t>
  </si>
  <si>
    <t>F06</t>
  </si>
  <si>
    <t>Sample X66</t>
  </si>
  <si>
    <t>F07</t>
  </si>
  <si>
    <t>Sample X67</t>
  </si>
  <si>
    <t>F08</t>
  </si>
  <si>
    <t>Sample X68</t>
  </si>
  <si>
    <t>F09</t>
  </si>
  <si>
    <t>Sample X69</t>
  </si>
  <si>
    <t>F10</t>
  </si>
  <si>
    <t>Sample X70</t>
  </si>
  <si>
    <t>F11</t>
  </si>
  <si>
    <t>Sample X71</t>
  </si>
  <si>
    <t>F12</t>
  </si>
  <si>
    <t>Sample X72</t>
  </si>
  <si>
    <t>G01</t>
  </si>
  <si>
    <t>Sample X73</t>
  </si>
  <si>
    <t>G02</t>
  </si>
  <si>
    <t>Sample X74</t>
  </si>
  <si>
    <t>G03</t>
  </si>
  <si>
    <t>Sample X75</t>
  </si>
  <si>
    <t>G04</t>
  </si>
  <si>
    <t>Sample X76</t>
  </si>
  <si>
    <t>G05</t>
  </si>
  <si>
    <t>Sample X77</t>
  </si>
  <si>
    <t>G06</t>
  </si>
  <si>
    <t>Sample X78</t>
  </si>
  <si>
    <t>G07</t>
  </si>
  <si>
    <t>Sample X79</t>
  </si>
  <si>
    <t>G08</t>
  </si>
  <si>
    <t>Sample X80</t>
  </si>
  <si>
    <t>G09</t>
  </si>
  <si>
    <t>Sample X81</t>
  </si>
  <si>
    <t>G10</t>
  </si>
  <si>
    <t>Sample X82</t>
  </si>
  <si>
    <t>G11</t>
  </si>
  <si>
    <t>Sample X83</t>
  </si>
  <si>
    <t>G12</t>
  </si>
  <si>
    <t>Sample X84</t>
  </si>
  <si>
    <t>A</t>
  </si>
  <si>
    <t>B</t>
  </si>
  <si>
    <t>C</t>
  </si>
  <si>
    <t>D</t>
  </si>
  <si>
    <t>E</t>
  </si>
  <si>
    <t>F</t>
  </si>
  <si>
    <t>G</t>
  </si>
  <si>
    <t>H</t>
  </si>
  <si>
    <t>blank</t>
  </si>
  <si>
    <t>reaction time</t>
  </si>
  <si>
    <t>enzyme mass</t>
  </si>
  <si>
    <t xml:space="preserve">6-AHA Calibration curve slope = </t>
  </si>
  <si>
    <t>average</t>
  </si>
  <si>
    <t>SEM</t>
  </si>
  <si>
    <t>HP</t>
  </si>
  <si>
    <t>TS</t>
  </si>
  <si>
    <t>DPLS</t>
  </si>
  <si>
    <t>TLLG</t>
  </si>
  <si>
    <t>GPLA</t>
  </si>
  <si>
    <t>DVLS</t>
  </si>
  <si>
    <t>DILS</t>
  </si>
  <si>
    <t>SALS</t>
  </si>
  <si>
    <t>SPLS</t>
  </si>
  <si>
    <t>NYLG</t>
  </si>
  <si>
    <t>TYLG</t>
  </si>
  <si>
    <t>TALG</t>
  </si>
  <si>
    <t>NPLS</t>
  </si>
  <si>
    <t>NPLG</t>
  </si>
  <si>
    <t>SPLA</t>
  </si>
  <si>
    <t>NILS</t>
  </si>
  <si>
    <t>DALG</t>
  </si>
  <si>
    <t>TPLG</t>
  </si>
  <si>
    <t>EFLS</t>
  </si>
  <si>
    <t>SFLS</t>
  </si>
  <si>
    <t>EPLG</t>
  </si>
  <si>
    <t>NALS</t>
  </si>
  <si>
    <t>DALS</t>
  </si>
  <si>
    <t>EPLS</t>
  </si>
  <si>
    <t>specifiv activity</t>
  </si>
  <si>
    <t>mM PA-6</t>
  </si>
  <si>
    <t>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</si>
</sst>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4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1" fillId="0" borderId="3" xfId="0" applyFont="1" applyBorder="1" applyAlignment="1">
      <alignment horizontal="center" wrapText="1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0" fontId="1" fillId="0" borderId="8" xfId="0" applyFont="1" applyBorder="1" applyAlignment="1">
      <alignment horizontal="center" wrapText="1"/>
    </xf>
    <xf numFmtId="0" fontId="0" fillId="0" borderId="9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164" fontId="2" fillId="0" borderId="5" xfId="0" applyNumberFormat="1" applyFont="1" applyBorder="1"/>
    <xf numFmtId="0" fontId="0" fillId="2" borderId="10" xfId="0" applyFill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A110"/>
  <sheetViews>
    <sheetView tabSelected="1" topLeftCell="H18" workbookViewId="0">
      <selection activeCell="R55" sqref="R55"/>
    </sheetView>
  </sheetViews>
  <sheetFormatPr baseColWidth="10" defaultColWidth="8.85546875"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2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5</v>
      </c>
    </row>
    <row r="9" spans="1:13" x14ac:dyDescent="0.25">
      <c r="A9" t="s">
        <v>6</v>
      </c>
      <c r="D9" t="s">
        <v>7</v>
      </c>
      <c r="H9" t="s">
        <v>8</v>
      </c>
    </row>
    <row r="13" spans="1:13" x14ac:dyDescent="0.25">
      <c r="B13" t="s">
        <v>11</v>
      </c>
    </row>
    <row r="14" spans="1:13" x14ac:dyDescent="0.25">
      <c r="B14" s="11">
        <v>1</v>
      </c>
      <c r="C14" s="11">
        <v>2</v>
      </c>
      <c r="D14" s="11">
        <v>3</v>
      </c>
      <c r="E14" s="11">
        <v>4</v>
      </c>
      <c r="F14" s="11">
        <v>5</v>
      </c>
      <c r="G14" s="11">
        <v>6</v>
      </c>
      <c r="H14" s="11">
        <v>7</v>
      </c>
      <c r="I14" s="11">
        <v>8</v>
      </c>
      <c r="J14" s="11">
        <v>9</v>
      </c>
      <c r="K14" s="11">
        <v>10</v>
      </c>
      <c r="L14" s="11">
        <v>11</v>
      </c>
      <c r="M14" s="11">
        <v>12</v>
      </c>
    </row>
    <row r="15" spans="1:13" x14ac:dyDescent="0.25">
      <c r="A15" s="11" t="s">
        <v>180</v>
      </c>
      <c r="B15" s="12">
        <v>0.27</v>
      </c>
      <c r="C15" s="13">
        <v>0.30199999999999999</v>
      </c>
      <c r="D15" s="13">
        <v>0.30299999999999999</v>
      </c>
      <c r="E15" s="13">
        <v>0.32300000000000001</v>
      </c>
      <c r="F15" s="13">
        <v>0.28299999999999997</v>
      </c>
      <c r="G15" s="13">
        <v>0.309</v>
      </c>
      <c r="H15" s="13">
        <v>0.67900000000000005</v>
      </c>
      <c r="I15" s="13">
        <v>0.752</v>
      </c>
      <c r="J15" s="13">
        <v>0.755</v>
      </c>
      <c r="K15" s="13">
        <v>0.80800000000000005</v>
      </c>
      <c r="L15" s="13">
        <v>0.85799999999999998</v>
      </c>
      <c r="M15" s="14">
        <v>0.80900000000000005</v>
      </c>
    </row>
    <row r="16" spans="1:13" x14ac:dyDescent="0.25">
      <c r="A16" s="11" t="s">
        <v>181</v>
      </c>
      <c r="B16" s="4">
        <v>0.32300000000000001</v>
      </c>
      <c r="C16" s="7">
        <v>0.437</v>
      </c>
      <c r="D16" s="7">
        <v>0.35499999999999998</v>
      </c>
      <c r="E16" s="7">
        <v>0.32500000000000001</v>
      </c>
      <c r="F16" s="7">
        <v>0.31</v>
      </c>
      <c r="G16" s="7">
        <v>0.33900000000000002</v>
      </c>
      <c r="H16" s="7">
        <v>0.33</v>
      </c>
      <c r="I16" s="7">
        <v>0.30499999999999999</v>
      </c>
      <c r="J16" s="7">
        <v>0.32200000000000001</v>
      </c>
      <c r="K16" s="7">
        <v>0.29899999999999999</v>
      </c>
      <c r="L16" s="7">
        <v>0.29299999999999998</v>
      </c>
      <c r="M16" s="3">
        <v>0.3</v>
      </c>
    </row>
    <row r="17" spans="1:27" x14ac:dyDescent="0.25">
      <c r="A17" s="11" t="s">
        <v>182</v>
      </c>
      <c r="B17" s="4">
        <v>0.315</v>
      </c>
      <c r="C17" s="7">
        <v>0.34200000000000003</v>
      </c>
      <c r="D17" s="7">
        <v>0.33600000000000002</v>
      </c>
      <c r="E17" s="7">
        <v>0.33400000000000002</v>
      </c>
      <c r="F17" s="7">
        <v>0.32500000000000001</v>
      </c>
      <c r="G17" s="7">
        <v>0.48299999999999998</v>
      </c>
      <c r="H17" s="7">
        <v>0.33400000000000002</v>
      </c>
      <c r="I17" s="7">
        <v>0.312</v>
      </c>
      <c r="J17" s="7">
        <v>0.372</v>
      </c>
      <c r="K17" s="7">
        <v>0.307</v>
      </c>
      <c r="L17" s="7">
        <v>0.28699999999999998</v>
      </c>
      <c r="M17" s="3">
        <v>0.29799999999999999</v>
      </c>
    </row>
    <row r="18" spans="1:27" x14ac:dyDescent="0.25">
      <c r="A18" s="11" t="s">
        <v>183</v>
      </c>
      <c r="B18" s="4">
        <v>0.29199999999999998</v>
      </c>
      <c r="C18" s="7">
        <v>0.29499999999999998</v>
      </c>
      <c r="D18" s="7">
        <v>0.30099999999999999</v>
      </c>
      <c r="E18" s="7">
        <v>0.35099999999999998</v>
      </c>
      <c r="F18" s="7">
        <v>0.32400000000000001</v>
      </c>
      <c r="G18" s="7">
        <v>0.314</v>
      </c>
      <c r="H18" s="7">
        <v>0.29799999999999999</v>
      </c>
      <c r="I18" s="7">
        <v>0.34200000000000003</v>
      </c>
      <c r="J18" s="7">
        <v>0.28699999999999998</v>
      </c>
      <c r="K18" s="7">
        <v>0.313</v>
      </c>
      <c r="L18" s="7">
        <v>0.315</v>
      </c>
      <c r="M18" s="3">
        <v>0.33800000000000002</v>
      </c>
    </row>
    <row r="19" spans="1:27" x14ac:dyDescent="0.25">
      <c r="A19" s="11" t="s">
        <v>184</v>
      </c>
      <c r="B19" s="4">
        <v>0.29099999999999998</v>
      </c>
      <c r="C19" s="7">
        <v>0.30599999999999999</v>
      </c>
      <c r="D19" s="7">
        <v>0.33700000000000002</v>
      </c>
      <c r="E19" s="7">
        <v>0.30299999999999999</v>
      </c>
      <c r="F19" s="7">
        <v>0.30199999999999999</v>
      </c>
      <c r="G19" s="7">
        <v>0.28000000000000003</v>
      </c>
      <c r="H19" s="7">
        <v>0.29299999999999998</v>
      </c>
      <c r="I19" s="7">
        <v>0.30399999999999999</v>
      </c>
      <c r="J19" s="7">
        <v>0.254</v>
      </c>
      <c r="K19" s="7">
        <v>0.30599999999999999</v>
      </c>
      <c r="L19" s="7">
        <v>0.316</v>
      </c>
      <c r="M19" s="3">
        <v>0.29799999999999999</v>
      </c>
    </row>
    <row r="20" spans="1:27" x14ac:dyDescent="0.25">
      <c r="A20" s="11" t="s">
        <v>185</v>
      </c>
      <c r="B20" s="4">
        <v>0.33100000000000002</v>
      </c>
      <c r="C20" s="7">
        <v>0.373</v>
      </c>
      <c r="D20" s="7">
        <v>0.30099999999999999</v>
      </c>
      <c r="E20" s="7">
        <v>0.308</v>
      </c>
      <c r="F20" s="7">
        <v>0.29299999999999998</v>
      </c>
      <c r="G20" s="7">
        <v>0.34699999999999998</v>
      </c>
      <c r="H20" s="7">
        <v>0.33600000000000002</v>
      </c>
      <c r="I20" s="7">
        <v>0.33100000000000002</v>
      </c>
      <c r="J20" s="7">
        <v>-12.919</v>
      </c>
      <c r="K20" s="7">
        <v>-9.5060000000000002</v>
      </c>
      <c r="L20" s="7">
        <v>-9.6890000000000001</v>
      </c>
      <c r="M20" s="3">
        <v>-7.54</v>
      </c>
    </row>
    <row r="21" spans="1:27" x14ac:dyDescent="0.25">
      <c r="A21" s="11" t="s">
        <v>186</v>
      </c>
      <c r="B21" s="4">
        <v>-13.487</v>
      </c>
      <c r="C21" s="7">
        <v>0.28299999999999997</v>
      </c>
      <c r="D21" s="7">
        <v>0.32</v>
      </c>
      <c r="E21" s="7">
        <v>0.28599999999999998</v>
      </c>
      <c r="F21" s="7">
        <v>-15.696999999999999</v>
      </c>
      <c r="G21" s="7">
        <v>-9.5269999999999992</v>
      </c>
      <c r="H21" s="7">
        <v>-13.217000000000001</v>
      </c>
      <c r="I21" s="7">
        <v>-12.891999999999999</v>
      </c>
      <c r="J21" s="7">
        <v>-8.5579999999999998</v>
      </c>
      <c r="K21" s="7">
        <v>-6.8390000000000004</v>
      </c>
      <c r="L21" s="7">
        <v>-6.6079999999999997</v>
      </c>
      <c r="M21" s="3">
        <v>-8.5399999999999991</v>
      </c>
    </row>
    <row r="22" spans="1:27" x14ac:dyDescent="0.25">
      <c r="A22" s="11" t="s">
        <v>187</v>
      </c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7"/>
    </row>
    <row r="23" spans="1:27" ht="15.75" thickBot="1" x14ac:dyDescent="0.3"/>
    <row r="24" spans="1:27" x14ac:dyDescent="0.25">
      <c r="B24" t="s">
        <v>188</v>
      </c>
      <c r="C24">
        <f>AVERAGE(C21,D21,E21)</f>
        <v>0.29633333333333334</v>
      </c>
      <c r="E24" t="s">
        <v>189</v>
      </c>
      <c r="F24" s="7">
        <v>20</v>
      </c>
      <c r="G24" t="s">
        <v>190</v>
      </c>
      <c r="H24">
        <v>0.94762500000000005</v>
      </c>
      <c r="J24" t="s">
        <v>191</v>
      </c>
      <c r="K24" s="18">
        <v>1.5699999999999999E-4</v>
      </c>
      <c r="P24" t="s">
        <v>219</v>
      </c>
    </row>
    <row r="26" spans="1:27" x14ac:dyDescent="0.25">
      <c r="B26" t="s">
        <v>218</v>
      </c>
      <c r="P26" t="s">
        <v>218</v>
      </c>
    </row>
    <row r="27" spans="1:27" x14ac:dyDescent="0.25">
      <c r="B27" s="11">
        <v>1</v>
      </c>
      <c r="C27" s="11">
        <v>2</v>
      </c>
      <c r="D27" s="11">
        <v>3</v>
      </c>
      <c r="E27" s="11">
        <v>4</v>
      </c>
      <c r="F27" s="11">
        <v>5</v>
      </c>
      <c r="G27" s="11">
        <v>6</v>
      </c>
      <c r="H27" s="11">
        <v>7</v>
      </c>
      <c r="I27" s="11">
        <v>8</v>
      </c>
      <c r="J27" s="11">
        <v>9</v>
      </c>
      <c r="K27" s="11">
        <v>10</v>
      </c>
      <c r="L27" s="11">
        <v>11</v>
      </c>
      <c r="M27" s="11">
        <v>12</v>
      </c>
      <c r="P27" s="11">
        <v>1</v>
      </c>
      <c r="Q27" s="11">
        <v>2</v>
      </c>
      <c r="R27" s="11">
        <v>3</v>
      </c>
      <c r="S27" s="11">
        <v>4</v>
      </c>
      <c r="T27" s="11">
        <v>5</v>
      </c>
      <c r="U27" s="11">
        <v>6</v>
      </c>
      <c r="V27" s="11">
        <v>7</v>
      </c>
      <c r="W27" s="11">
        <v>8</v>
      </c>
      <c r="X27" s="11">
        <v>9</v>
      </c>
      <c r="Y27" s="11">
        <v>10</v>
      </c>
      <c r="Z27" s="11">
        <v>11</v>
      </c>
      <c r="AA27" s="11">
        <v>12</v>
      </c>
    </row>
    <row r="28" spans="1:27" x14ac:dyDescent="0.25">
      <c r="B28" s="19">
        <v>0</v>
      </c>
      <c r="C28" s="19">
        <f t="shared" ref="C28:M28" si="0">((C15-$C$24)/$K$24)/$F$24/($H$24)</f>
        <v>1.9044146291530544</v>
      </c>
      <c r="D28" s="19">
        <f t="shared" si="0"/>
        <v>2.2404877990035947</v>
      </c>
      <c r="E28" s="19">
        <f t="shared" si="0"/>
        <v>8.9619511960143967</v>
      </c>
      <c r="F28" s="19">
        <v>0</v>
      </c>
      <c r="G28" s="19">
        <f t="shared" si="0"/>
        <v>4.2569268181068365</v>
      </c>
      <c r="H28" s="19">
        <f t="shared" si="0"/>
        <v>128.60399966280661</v>
      </c>
      <c r="I28" s="19">
        <f t="shared" si="0"/>
        <v>153.137341061896</v>
      </c>
      <c r="J28" s="19">
        <f t="shared" si="0"/>
        <v>154.14556057144762</v>
      </c>
      <c r="K28" s="19">
        <f t="shared" si="0"/>
        <v>171.95743857352625</v>
      </c>
      <c r="L28" s="19">
        <f t="shared" si="0"/>
        <v>188.76109706605322</v>
      </c>
      <c r="M28" s="19">
        <f t="shared" si="0"/>
        <v>172.2935117433768</v>
      </c>
      <c r="P28" s="19">
        <v>0</v>
      </c>
      <c r="Q28" s="19">
        <f t="shared" ref="Q28:AA28" si="1">((C15-$C$24)/$K$24)</f>
        <v>36.093418259023267</v>
      </c>
      <c r="R28" s="19">
        <f t="shared" si="1"/>
        <v>42.462845010615631</v>
      </c>
      <c r="S28" s="19">
        <f t="shared" si="1"/>
        <v>169.85138004246289</v>
      </c>
      <c r="T28" s="19">
        <f t="shared" si="1"/>
        <v>-84.925690021231617</v>
      </c>
      <c r="U28" s="19">
        <f t="shared" si="1"/>
        <v>80.679405520169809</v>
      </c>
      <c r="V28" s="19">
        <f t="shared" si="1"/>
        <v>2437.3673036093423</v>
      </c>
      <c r="W28" s="19">
        <f t="shared" si="1"/>
        <v>2902.3354564755841</v>
      </c>
      <c r="X28" s="19">
        <f t="shared" si="1"/>
        <v>2921.4437367303613</v>
      </c>
      <c r="Y28" s="19">
        <f t="shared" si="1"/>
        <v>3259.0233545647561</v>
      </c>
      <c r="Z28" s="19">
        <f t="shared" si="1"/>
        <v>3577.4946921443739</v>
      </c>
      <c r="AA28" s="19">
        <f t="shared" si="1"/>
        <v>3265.3927813163486</v>
      </c>
    </row>
    <row r="29" spans="1:27" x14ac:dyDescent="0.25">
      <c r="B29" s="19">
        <f t="shared" ref="B29:M29" si="2">((B16-$C$24)/$K$24)/$F$24/($H$24)</f>
        <v>8.9619511960143967</v>
      </c>
      <c r="C29" s="19">
        <f t="shared" si="2"/>
        <v>47.274292558975937</v>
      </c>
      <c r="D29" s="19">
        <f t="shared" si="2"/>
        <v>19.716292631231667</v>
      </c>
      <c r="E29" s="19">
        <f t="shared" si="2"/>
        <v>9.6340975357154779</v>
      </c>
      <c r="F29" s="19">
        <f t="shared" si="2"/>
        <v>4.5929999879573753</v>
      </c>
      <c r="G29" s="19">
        <f t="shared" si="2"/>
        <v>14.339121913623039</v>
      </c>
      <c r="H29" s="19">
        <f t="shared" si="2"/>
        <v>11.31446338496818</v>
      </c>
      <c r="I29" s="19">
        <f t="shared" si="2"/>
        <v>2.912634138704675</v>
      </c>
      <c r="J29" s="19">
        <f t="shared" si="2"/>
        <v>8.6258780261638588</v>
      </c>
      <c r="K29" s="19">
        <f t="shared" si="2"/>
        <v>0.89619511960143405</v>
      </c>
      <c r="L29" s="19">
        <v>0</v>
      </c>
      <c r="M29" s="19">
        <f t="shared" si="2"/>
        <v>1.2322682894519745</v>
      </c>
      <c r="P29" s="19">
        <f t="shared" ref="P29:P34" si="3">((B16-$C$24)/$K$24)</f>
        <v>169.85138004246289</v>
      </c>
      <c r="Q29" s="19">
        <f t="shared" ref="Q29:Q34" si="4">((C16-$C$24)/$K$24)</f>
        <v>895.96602972399148</v>
      </c>
      <c r="R29" s="19">
        <f t="shared" ref="R29:R34" si="5">((D16-$C$24)/$K$24)</f>
        <v>373.67303609341815</v>
      </c>
      <c r="S29" s="19">
        <f t="shared" ref="S29:S34" si="6">((E16-$C$24)/$K$24)</f>
        <v>182.59023354564761</v>
      </c>
      <c r="T29" s="19">
        <f t="shared" ref="T29:T34" si="7">((F16-$C$24)/$K$24)</f>
        <v>87.048832271762166</v>
      </c>
      <c r="U29" s="19">
        <f t="shared" ref="U29:U34" si="8">((G16-$C$24)/$K$24)</f>
        <v>271.76220806794066</v>
      </c>
      <c r="V29" s="19">
        <f t="shared" ref="V29:V34" si="9">((H16-$C$24)/$K$24)</f>
        <v>214.43736730360942</v>
      </c>
      <c r="W29" s="19">
        <f t="shared" ref="W29:W34" si="10">((I16-$C$24)/$K$24)</f>
        <v>55.201698513800359</v>
      </c>
      <c r="X29" s="19">
        <f t="shared" ref="X29:X34" si="11">((J16-$C$24)/$K$24)</f>
        <v>163.48195329087054</v>
      </c>
      <c r="Y29" s="19">
        <f t="shared" ref="Y29:Y34" si="12">((K16-$C$24)/$K$24)</f>
        <v>16.985138004246181</v>
      </c>
      <c r="Z29" s="19">
        <f t="shared" ref="Z29:Z34" si="13">((L16-$C$24)/$K$24)</f>
        <v>-21.231422505307993</v>
      </c>
      <c r="AA29" s="19">
        <f t="shared" ref="AA29:AA34" si="14">((M16-$C$24)/$K$24)</f>
        <v>23.354564755838545</v>
      </c>
    </row>
    <row r="30" spans="1:27" x14ac:dyDescent="0.25">
      <c r="B30" s="19">
        <f t="shared" ref="B30:M30" si="15">((B17-$C$24)/$K$24)/$F$24/($H$24)</f>
        <v>6.2733658372100765</v>
      </c>
      <c r="C30" s="19">
        <f t="shared" si="15"/>
        <v>15.347341423174662</v>
      </c>
      <c r="D30" s="19">
        <f t="shared" si="15"/>
        <v>13.330902404071418</v>
      </c>
      <c r="E30" s="19">
        <f t="shared" si="15"/>
        <v>12.658756064370341</v>
      </c>
      <c r="F30" s="19">
        <f t="shared" si="15"/>
        <v>9.6340975357154779</v>
      </c>
      <c r="G30" s="19">
        <f t="shared" si="15"/>
        <v>62.73365837210077</v>
      </c>
      <c r="H30" s="19">
        <f t="shared" si="15"/>
        <v>12.658756064370341</v>
      </c>
      <c r="I30" s="19">
        <f t="shared" si="15"/>
        <v>5.2651463276584556</v>
      </c>
      <c r="J30" s="19">
        <f t="shared" si="15"/>
        <v>25.429536518690846</v>
      </c>
      <c r="K30" s="19">
        <f t="shared" si="15"/>
        <v>3.5847804784057553</v>
      </c>
      <c r="L30" s="19">
        <v>0</v>
      </c>
      <c r="M30" s="19">
        <f t="shared" si="15"/>
        <v>0.56012194975089413</v>
      </c>
      <c r="P30" s="19">
        <f t="shared" si="3"/>
        <v>118.89596602972398</v>
      </c>
      <c r="Q30" s="19">
        <f t="shared" si="4"/>
        <v>290.87048832271779</v>
      </c>
      <c r="R30" s="19">
        <f t="shared" si="5"/>
        <v>252.65392781316359</v>
      </c>
      <c r="S30" s="19">
        <f t="shared" si="6"/>
        <v>239.91507430997888</v>
      </c>
      <c r="T30" s="19">
        <f t="shared" si="7"/>
        <v>182.59023354564761</v>
      </c>
      <c r="U30" s="19">
        <f t="shared" si="8"/>
        <v>1188.9596602972399</v>
      </c>
      <c r="V30" s="19">
        <f t="shared" si="9"/>
        <v>239.91507430997888</v>
      </c>
      <c r="W30" s="19">
        <f t="shared" si="10"/>
        <v>99.787685774946894</v>
      </c>
      <c r="X30" s="19">
        <f t="shared" si="11"/>
        <v>481.95329087048827</v>
      </c>
      <c r="Y30" s="19">
        <f t="shared" si="12"/>
        <v>67.94055201698508</v>
      </c>
      <c r="Z30" s="19">
        <f t="shared" si="13"/>
        <v>-59.447983014862167</v>
      </c>
      <c r="AA30" s="19">
        <f t="shared" si="14"/>
        <v>10.615711252653821</v>
      </c>
    </row>
    <row r="31" spans="1:27" x14ac:dyDescent="0.25">
      <c r="B31" s="19">
        <v>0</v>
      </c>
      <c r="C31" s="19">
        <v>0</v>
      </c>
      <c r="D31" s="19">
        <f t="shared" ref="D31:M31" si="16">((D18-$C$24)/$K$24)/$F$24/($H$24)</f>
        <v>1.5683414593025145</v>
      </c>
      <c r="E31" s="19">
        <f t="shared" si="16"/>
        <v>18.371999951829501</v>
      </c>
      <c r="F31" s="19">
        <f t="shared" si="16"/>
        <v>9.2980243658649382</v>
      </c>
      <c r="G31" s="19">
        <f t="shared" si="16"/>
        <v>5.9372926673595368</v>
      </c>
      <c r="H31" s="19">
        <f t="shared" si="16"/>
        <v>0.56012194975089413</v>
      </c>
      <c r="I31" s="19">
        <f t="shared" si="16"/>
        <v>15.347341423174662</v>
      </c>
      <c r="J31" s="19">
        <v>0</v>
      </c>
      <c r="K31" s="19">
        <f t="shared" si="16"/>
        <v>5.6012194975089971</v>
      </c>
      <c r="L31" s="19">
        <f t="shared" si="16"/>
        <v>6.2733658372100765</v>
      </c>
      <c r="M31" s="19">
        <f t="shared" si="16"/>
        <v>14.003048743772499</v>
      </c>
      <c r="P31" s="19">
        <f t="shared" si="3"/>
        <v>-27.600849256900357</v>
      </c>
      <c r="Q31" s="19">
        <f t="shared" si="4"/>
        <v>-8.4925690021232683</v>
      </c>
      <c r="R31" s="19">
        <f t="shared" si="5"/>
        <v>29.723991507430906</v>
      </c>
      <c r="S31" s="19">
        <f t="shared" si="6"/>
        <v>348.19532908704866</v>
      </c>
      <c r="T31" s="19">
        <f t="shared" si="7"/>
        <v>176.22080679405525</v>
      </c>
      <c r="U31" s="19">
        <f t="shared" si="8"/>
        <v>112.52653927813162</v>
      </c>
      <c r="V31" s="19">
        <f t="shared" si="9"/>
        <v>10.615711252653821</v>
      </c>
      <c r="W31" s="19">
        <f t="shared" si="10"/>
        <v>290.87048832271779</v>
      </c>
      <c r="X31" s="19">
        <f t="shared" si="11"/>
        <v>-59.447983014862167</v>
      </c>
      <c r="Y31" s="19">
        <f t="shared" si="12"/>
        <v>106.15711252653927</v>
      </c>
      <c r="Z31" s="19">
        <f t="shared" si="13"/>
        <v>118.89596602972398</v>
      </c>
      <c r="AA31" s="19">
        <f t="shared" si="14"/>
        <v>265.39278131634831</v>
      </c>
    </row>
    <row r="32" spans="1:27" x14ac:dyDescent="0.25">
      <c r="B32" s="19">
        <v>0</v>
      </c>
      <c r="C32" s="19">
        <f t="shared" ref="C32:M32" si="17">((C19-$C$24)/$K$24)/$F$24/($H$24)</f>
        <v>3.2487073085552156</v>
      </c>
      <c r="D32" s="19">
        <f t="shared" si="17"/>
        <v>13.66697557392196</v>
      </c>
      <c r="E32" s="19">
        <f t="shared" si="17"/>
        <v>2.2404877990035947</v>
      </c>
      <c r="F32" s="19">
        <f t="shared" si="17"/>
        <v>1.9044146291530544</v>
      </c>
      <c r="G32" s="19">
        <v>0</v>
      </c>
      <c r="H32" s="19">
        <v>0</v>
      </c>
      <c r="I32" s="19">
        <f t="shared" si="17"/>
        <v>2.5765609688541349</v>
      </c>
      <c r="J32" s="19">
        <v>0</v>
      </c>
      <c r="K32" s="19">
        <f t="shared" si="17"/>
        <v>3.2487073085552156</v>
      </c>
      <c r="L32" s="19">
        <f t="shared" si="17"/>
        <v>6.609439007060617</v>
      </c>
      <c r="M32" s="19">
        <f t="shared" si="17"/>
        <v>0.56012194975089413</v>
      </c>
      <c r="P32" s="19">
        <f t="shared" si="3"/>
        <v>-33.970276008492718</v>
      </c>
      <c r="Q32" s="19">
        <f t="shared" si="4"/>
        <v>61.571125265392723</v>
      </c>
      <c r="R32" s="19">
        <f t="shared" si="5"/>
        <v>259.02335456475595</v>
      </c>
      <c r="S32" s="19">
        <f t="shared" si="6"/>
        <v>42.462845010615631</v>
      </c>
      <c r="T32" s="19">
        <f t="shared" si="7"/>
        <v>36.093418259023267</v>
      </c>
      <c r="U32" s="19">
        <f t="shared" si="8"/>
        <v>-104.03397027600835</v>
      </c>
      <c r="V32" s="19">
        <f t="shared" si="9"/>
        <v>-21.231422505307993</v>
      </c>
      <c r="W32" s="19">
        <f t="shared" si="10"/>
        <v>48.832271762207995</v>
      </c>
      <c r="X32" s="19">
        <f t="shared" si="11"/>
        <v>-269.6390658174098</v>
      </c>
      <c r="Y32" s="19">
        <f t="shared" si="12"/>
        <v>61.571125265392723</v>
      </c>
      <c r="Z32" s="19">
        <f t="shared" si="13"/>
        <v>125.26539278131635</v>
      </c>
      <c r="AA32" s="19">
        <f t="shared" si="14"/>
        <v>10.615711252653821</v>
      </c>
    </row>
    <row r="33" spans="2:27" x14ac:dyDescent="0.25">
      <c r="B33" s="19">
        <f t="shared" ref="B33:I33" si="18">((B20-$C$24)/$K$24)/$F$24/($H$24)</f>
        <v>11.65053655481872</v>
      </c>
      <c r="C33" s="19">
        <f t="shared" si="18"/>
        <v>25.765609688541385</v>
      </c>
      <c r="D33" s="19">
        <f t="shared" si="18"/>
        <v>1.5683414593025145</v>
      </c>
      <c r="E33" s="19">
        <f t="shared" si="18"/>
        <v>3.9208536482562959</v>
      </c>
      <c r="F33" s="19">
        <v>0</v>
      </c>
      <c r="G33" s="19">
        <f t="shared" si="18"/>
        <v>17.027707272427346</v>
      </c>
      <c r="H33" s="19">
        <f t="shared" si="18"/>
        <v>13.330902404071418</v>
      </c>
      <c r="I33" s="19">
        <f t="shared" si="18"/>
        <v>11.65053655481872</v>
      </c>
      <c r="J33" s="19">
        <v>0</v>
      </c>
      <c r="K33" s="19">
        <v>0</v>
      </c>
      <c r="L33" s="19">
        <v>0</v>
      </c>
      <c r="M33" s="19">
        <v>0</v>
      </c>
      <c r="P33" s="19">
        <f t="shared" si="3"/>
        <v>220.80679405520178</v>
      </c>
      <c r="Q33" s="19">
        <f t="shared" si="4"/>
        <v>488.32271762208063</v>
      </c>
      <c r="R33" s="19">
        <f t="shared" si="5"/>
        <v>29.723991507430906</v>
      </c>
      <c r="S33" s="19">
        <f t="shared" si="6"/>
        <v>74.309978768577452</v>
      </c>
      <c r="T33" s="19">
        <f t="shared" si="7"/>
        <v>-21.231422505307993</v>
      </c>
      <c r="U33" s="19">
        <f t="shared" si="8"/>
        <v>322.71762208067923</v>
      </c>
      <c r="V33" s="19">
        <f t="shared" si="9"/>
        <v>252.65392781316359</v>
      </c>
      <c r="W33" s="19">
        <f t="shared" si="10"/>
        <v>220.80679405520178</v>
      </c>
      <c r="X33" s="19">
        <f t="shared" si="11"/>
        <v>-84174.097664543529</v>
      </c>
      <c r="Y33" s="19">
        <f t="shared" si="12"/>
        <v>-62435.244161358816</v>
      </c>
      <c r="Z33" s="19">
        <f t="shared" si="13"/>
        <v>-63600.849256900212</v>
      </c>
      <c r="AA33" s="19">
        <f t="shared" si="14"/>
        <v>-49912.951167728235</v>
      </c>
    </row>
    <row r="34" spans="2:27" x14ac:dyDescent="0.25">
      <c r="B34" s="19">
        <v>0</v>
      </c>
      <c r="C34" s="19">
        <v>0</v>
      </c>
      <c r="D34" s="19">
        <f t="shared" ref="D34" si="19">((D21-$C$24)/$K$24)/$F$24/($H$24)</f>
        <v>7.9537316864627767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P34" s="19">
        <f t="shared" si="3"/>
        <v>-87791.93205944798</v>
      </c>
      <c r="Q34" s="19">
        <f t="shared" si="4"/>
        <v>-84.925690021231617</v>
      </c>
      <c r="R34" s="19">
        <f t="shared" si="5"/>
        <v>150.74309978768579</v>
      </c>
      <c r="S34" s="19">
        <f t="shared" si="6"/>
        <v>-65.817409766454531</v>
      </c>
      <c r="T34" s="19">
        <f t="shared" si="7"/>
        <v>-101868.3651804671</v>
      </c>
      <c r="U34" s="19">
        <f t="shared" si="8"/>
        <v>-62569.002123142243</v>
      </c>
      <c r="V34" s="19">
        <f t="shared" si="9"/>
        <v>-86072.186836518056</v>
      </c>
      <c r="W34" s="19">
        <f t="shared" si="10"/>
        <v>-84002.123142250523</v>
      </c>
      <c r="X34" s="19">
        <f t="shared" si="11"/>
        <v>-56397.027600849258</v>
      </c>
      <c r="Y34" s="19">
        <f t="shared" si="12"/>
        <v>-45447.983014862002</v>
      </c>
      <c r="Z34" s="19">
        <f t="shared" si="13"/>
        <v>-43976.645435244158</v>
      </c>
      <c r="AA34" s="19">
        <f t="shared" si="14"/>
        <v>-56282.377919320592</v>
      </c>
    </row>
    <row r="35" spans="2:27" x14ac:dyDescent="0.25"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7"/>
      <c r="P35" s="15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7"/>
    </row>
    <row r="37" spans="2:27" x14ac:dyDescent="0.25">
      <c r="C37" t="s">
        <v>192</v>
      </c>
      <c r="D37" t="s">
        <v>193</v>
      </c>
      <c r="Q37" t="s">
        <v>192</v>
      </c>
      <c r="R37" t="s">
        <v>193</v>
      </c>
    </row>
    <row r="38" spans="2:27" x14ac:dyDescent="0.25">
      <c r="B38" t="s">
        <v>208</v>
      </c>
      <c r="C38">
        <f>AVERAGE(D28,C28)</f>
        <v>2.0724512140783244</v>
      </c>
      <c r="D38">
        <f>_xlfn.STDEV.S(D28,C28)/SQRT(COUNT(D28,C28))</f>
        <v>0.16803658492527018</v>
      </c>
      <c r="P38" t="s">
        <v>208</v>
      </c>
      <c r="Q38">
        <f>AVERAGE(R28,Q28)</f>
        <v>39.278131634819445</v>
      </c>
      <c r="R38">
        <f>_xlfn.STDEV.S(R28,Q28)/SQRT(COUNT(R28,Q28))</f>
        <v>3.1847133757961816</v>
      </c>
    </row>
    <row r="39" spans="2:27" x14ac:dyDescent="0.25">
      <c r="B39" t="s">
        <v>197</v>
      </c>
      <c r="C39">
        <f>AVERAGE(E28,G28)</f>
        <v>6.609439007060617</v>
      </c>
      <c r="D39">
        <f>_xlfn.STDEV.S(E28,G28)/SQRT(COUNT(E28,G28))</f>
        <v>2.3525121889537774</v>
      </c>
      <c r="E39">
        <f>C39/$C$39</f>
        <v>1</v>
      </c>
      <c r="P39" t="s">
        <v>197</v>
      </c>
      <c r="Q39">
        <f>AVERAGE(S28,U28)</f>
        <v>125.26539278131635</v>
      </c>
      <c r="R39">
        <f>_xlfn.STDEV.S(S28,U28)/SQRT(COUNT(S28,U28))</f>
        <v>44.585987261146535</v>
      </c>
      <c r="S39">
        <f>Q39/$C$39</f>
        <v>18.952500000000001</v>
      </c>
    </row>
    <row r="40" spans="2:27" x14ac:dyDescent="0.25">
      <c r="B40" t="s">
        <v>195</v>
      </c>
      <c r="C40">
        <f>AVERAGE(H28,I28,J28)</f>
        <v>145.2956337653834</v>
      </c>
      <c r="D40">
        <f>_xlfn.STDEV.S(H28,I28,J28)/SQRT(COUNT(H28,I28,J28))</f>
        <v>8.3508904396594854</v>
      </c>
      <c r="E40">
        <f t="shared" ref="E40:E61" si="20">C40/$C$39</f>
        <v>21.983050847457626</v>
      </c>
      <c r="P40" t="s">
        <v>195</v>
      </c>
      <c r="Q40">
        <f>AVERAGE(V28,W28,X28)</f>
        <v>2753.7154989384294</v>
      </c>
      <c r="R40">
        <f>_xlfn.STDEV.S(V28,W28,X28)/SQRT(COUNT(V28,W28,X28))</f>
        <v>158.2702510576465</v>
      </c>
      <c r="S40">
        <f t="shared" ref="S40:S61" si="21">Q40/$C$39</f>
        <v>416.63377118644075</v>
      </c>
    </row>
    <row r="41" spans="2:27" x14ac:dyDescent="0.25">
      <c r="B41" t="s">
        <v>194</v>
      </c>
      <c r="C41">
        <f>AVERAGE(K28,L28,M28)</f>
        <v>177.67068246098543</v>
      </c>
      <c r="D41">
        <f>_xlfn.STDEV.S(K28,L28,M28)/SQRT(COUNT(K28,L28,M28))</f>
        <v>5.5460559072220939</v>
      </c>
      <c r="E41">
        <f t="shared" si="20"/>
        <v>26.881355932203395</v>
      </c>
      <c r="P41" t="s">
        <v>194</v>
      </c>
      <c r="Q41">
        <f>AVERAGE(Y28,Z28,AA28)</f>
        <v>3367.3036093418264</v>
      </c>
      <c r="R41">
        <f>_xlfn.STDEV.S(Y28,Z28,AA28)/SQRT(COUNT(Y28,Z28,AA28))</f>
        <v>105.11162458162681</v>
      </c>
      <c r="S41">
        <f t="shared" si="21"/>
        <v>509.46889830508485</v>
      </c>
    </row>
    <row r="42" spans="2:27" x14ac:dyDescent="0.25">
      <c r="B42" t="s">
        <v>204</v>
      </c>
      <c r="C42">
        <f>AVERAGE(B29:D29)</f>
        <v>25.317512128740663</v>
      </c>
      <c r="D42">
        <f>_xlfn.STDEV.S(B29:D29)/SQRT(COUNT(B29:D29))</f>
        <v>11.408901788698156</v>
      </c>
      <c r="E42">
        <f t="shared" si="20"/>
        <v>3.8305084745762703</v>
      </c>
      <c r="P42" t="s">
        <v>204</v>
      </c>
      <c r="Q42">
        <f>AVERAGE(P29:R29)</f>
        <v>479.83014861995753</v>
      </c>
      <c r="R42">
        <f>_xlfn.STDEV.S(P29:R29)/SQRT(COUNT(P29:R29))</f>
        <v>216.22721115030174</v>
      </c>
      <c r="S42">
        <f t="shared" si="21"/>
        <v>72.597711864406776</v>
      </c>
    </row>
    <row r="43" spans="2:27" x14ac:dyDescent="0.25">
      <c r="B43" t="s">
        <v>210</v>
      </c>
      <c r="C43">
        <f>AVERAGE(E29:G29)</f>
        <v>9.5220731457652974</v>
      </c>
      <c r="D43">
        <f>_xlfn.STDEV.S(E29:G29)/SQRT(COUNT(E29:G29))</f>
        <v>2.8140205664637588</v>
      </c>
      <c r="E43">
        <f t="shared" si="20"/>
        <v>1.4406779661016951</v>
      </c>
      <c r="P43" t="s">
        <v>210</v>
      </c>
      <c r="Q43">
        <f>AVERAGE(S29:U29)</f>
        <v>180.46709129511683</v>
      </c>
      <c r="R43">
        <f>_xlfn.STDEV.S(S29:U29)/SQRT(COUNT(S29:U29))</f>
        <v>53.332724785904304</v>
      </c>
      <c r="S43">
        <f t="shared" si="21"/>
        <v>27.304449152542382</v>
      </c>
    </row>
    <row r="44" spans="2:27" x14ac:dyDescent="0.25">
      <c r="B44" t="s">
        <v>198</v>
      </c>
      <c r="C44">
        <f>AVERAGE(H29:J29)</f>
        <v>7.6176585166122379</v>
      </c>
      <c r="D44">
        <f>_xlfn.STDEV.S(H29:J29)/SQRT(COUNT(H29:J29))</f>
        <v>2.4772339147674747</v>
      </c>
      <c r="E44">
        <f t="shared" si="20"/>
        <v>1.1525423728813562</v>
      </c>
      <c r="P44" t="s">
        <v>198</v>
      </c>
      <c r="Q44">
        <f>AVERAGE(V29:X29)</f>
        <v>144.37367303609344</v>
      </c>
      <c r="R44">
        <f>_xlfn.STDEV.S(V29:X29)/SQRT(COUNT(V29:X29))</f>
        <v>46.949775769630584</v>
      </c>
      <c r="S44">
        <f t="shared" si="21"/>
        <v>21.843559322033901</v>
      </c>
    </row>
    <row r="45" spans="2:27" x14ac:dyDescent="0.25">
      <c r="B45" t="s">
        <v>207</v>
      </c>
      <c r="C45">
        <f>AVERAGE(K29,M29)</f>
        <v>1.0642317045267042</v>
      </c>
      <c r="D45">
        <f>_xlfn.STDEV.S(K29,M29)/SQRT(COUNT(K29,M29))</f>
        <v>0.16803658492527096</v>
      </c>
      <c r="E45">
        <f t="shared" si="20"/>
        <v>0.16101694915254158</v>
      </c>
      <c r="P45" t="s">
        <v>207</v>
      </c>
      <c r="Q45">
        <f>AVERAGE(Y29,AA29)</f>
        <v>20.169851380042363</v>
      </c>
      <c r="R45">
        <f>_xlfn.STDEV.S(Y29,AA29)/SQRT(COUNT(Y29,AA29))</f>
        <v>3.1847133757961799</v>
      </c>
      <c r="S45">
        <f t="shared" si="21"/>
        <v>3.0516737288135443</v>
      </c>
    </row>
    <row r="46" spans="2:27" x14ac:dyDescent="0.25">
      <c r="B46" t="s">
        <v>199</v>
      </c>
      <c r="C46">
        <f>AVERAGE(B30:D30)</f>
        <v>11.65053655481872</v>
      </c>
      <c r="D46">
        <f>_xlfn.STDEV.S(B30:D30)/SQRT(COUNT(B30:D30))</f>
        <v>2.750877452388079</v>
      </c>
      <c r="E46">
        <f t="shared" si="20"/>
        <v>1.7627118644067803</v>
      </c>
      <c r="P46" t="s">
        <v>199</v>
      </c>
      <c r="Q46">
        <f>AVERAGE(P30:R30)</f>
        <v>220.80679405520178</v>
      </c>
      <c r="R46">
        <f>_xlfn.STDEV.S(P30:R30)/SQRT(COUNT(P30:R30))</f>
        <v>52.13600491638509</v>
      </c>
      <c r="S46">
        <f t="shared" si="21"/>
        <v>33.407796610169505</v>
      </c>
    </row>
    <row r="47" spans="2:27" x14ac:dyDescent="0.25">
      <c r="B47" t="s">
        <v>200</v>
      </c>
      <c r="C47">
        <f>AVERAGE(E30:G30)</f>
        <v>28.342170657395531</v>
      </c>
      <c r="D47">
        <f>_xlfn.STDEV.S(E30:G30)/SQRT(COUNT(E30:G30))</f>
        <v>17.217897279931158</v>
      </c>
      <c r="E47">
        <f t="shared" si="20"/>
        <v>4.28813559322034</v>
      </c>
      <c r="P47" t="s">
        <v>200</v>
      </c>
      <c r="Q47">
        <f>AVERAGE(S30:U30)</f>
        <v>537.1549893842888</v>
      </c>
      <c r="R47">
        <f>_xlfn.STDEV.S(S30:U30)/SQRT(COUNT(S30:U30))</f>
        <v>326.32219819789532</v>
      </c>
      <c r="S47">
        <f t="shared" si="21"/>
        <v>81.27088983050848</v>
      </c>
    </row>
    <row r="48" spans="2:27" x14ac:dyDescent="0.25">
      <c r="B48" t="s">
        <v>214</v>
      </c>
      <c r="C48">
        <f>AVERAGE(H30:J30)</f>
        <v>14.451146303573216</v>
      </c>
      <c r="D48">
        <f>_xlfn.STDEV.S(H30:J30)/SQRT(COUNT(H30:J30))</f>
        <v>5.8895431351178971</v>
      </c>
      <c r="E48">
        <f t="shared" si="20"/>
        <v>2.1864406779661021</v>
      </c>
      <c r="P48" t="s">
        <v>214</v>
      </c>
      <c r="Q48">
        <f>AVERAGE(V30:X30)</f>
        <v>273.88535031847135</v>
      </c>
      <c r="R48">
        <f>_xlfn.STDEV.S(V30:X30)/SQRT(COUNT(V30:X30))</f>
        <v>111.62156626832201</v>
      </c>
      <c r="S48">
        <f t="shared" si="21"/>
        <v>41.438516949152543</v>
      </c>
    </row>
    <row r="49" spans="2:19" x14ac:dyDescent="0.25">
      <c r="B49" t="s">
        <v>203</v>
      </c>
      <c r="C49">
        <f>AVERAGE(K30,M30)</f>
        <v>2.0724512140783249</v>
      </c>
      <c r="D49">
        <f>_xlfn.STDEV.S(K30,M30)/SQRT(COUNT(K30,M30))</f>
        <v>1.5123292643274304</v>
      </c>
      <c r="E49">
        <f t="shared" si="20"/>
        <v>0.31355932203389769</v>
      </c>
      <c r="P49" t="s">
        <v>203</v>
      </c>
      <c r="Q49">
        <f>AVERAGE(Y30,AA30)</f>
        <v>39.278131634819452</v>
      </c>
      <c r="R49">
        <f>_xlfn.STDEV.S(Y30,AA30)/SQRT(COUNT(Y30,AA30))</f>
        <v>28.662420382165628</v>
      </c>
      <c r="S49">
        <f t="shared" si="21"/>
        <v>5.9427330508474459</v>
      </c>
    </row>
    <row r="50" spans="2:19" x14ac:dyDescent="0.25">
      <c r="B50" t="s">
        <v>215</v>
      </c>
      <c r="C50">
        <f>AVERAGE(D31)</f>
        <v>1.5683414593025145</v>
      </c>
      <c r="D50" t="e">
        <f>_xlfn.STDEV.S(D31)/SQRT(COUNT(D31))</f>
        <v>#DIV/0!</v>
      </c>
      <c r="E50">
        <f t="shared" si="20"/>
        <v>0.2372881355932196</v>
      </c>
      <c r="P50" t="s">
        <v>215</v>
      </c>
      <c r="Q50">
        <f>AVERAGE(R31)</f>
        <v>29.723991507430906</v>
      </c>
      <c r="R50" t="e">
        <f>_xlfn.STDEV.S(R31)/SQRT(COUNT(R31))</f>
        <v>#DIV/0!</v>
      </c>
      <c r="S50">
        <f t="shared" si="21"/>
        <v>4.4972033898304948</v>
      </c>
    </row>
    <row r="51" spans="2:19" x14ac:dyDescent="0.25">
      <c r="B51" t="s">
        <v>205</v>
      </c>
      <c r="C51">
        <f>AVERAGE(E31:G31)</f>
        <v>11.202438995017992</v>
      </c>
      <c r="D51">
        <f>_xlfn.STDEV.S(E31:G31)/SQRT(COUNT(E31:G31))</f>
        <v>3.7137394731102544</v>
      </c>
      <c r="E51">
        <f t="shared" si="20"/>
        <v>1.6949152542372878</v>
      </c>
      <c r="P51" t="s">
        <v>205</v>
      </c>
      <c r="Q51">
        <f>AVERAGE(S31:U31)</f>
        <v>212.3142250530785</v>
      </c>
      <c r="R51">
        <f>_xlfn.STDEV.S(S31:U31)/SQRT(COUNT(S31:U31))</f>
        <v>70.384647364122159</v>
      </c>
      <c r="S51">
        <f t="shared" si="21"/>
        <v>32.122881355932194</v>
      </c>
    </row>
    <row r="52" spans="2:19" x14ac:dyDescent="0.25">
      <c r="B52" t="s">
        <v>216</v>
      </c>
      <c r="C52">
        <f>AVERAGE(H31,I31)</f>
        <v>7.9537316864627776</v>
      </c>
      <c r="D52">
        <f>_xlfn.STDEV.S(H31,I31)/SQRT(COUNT(H31,I31))</f>
        <v>7.393609736711884</v>
      </c>
      <c r="E52">
        <f t="shared" si="20"/>
        <v>1.2033898305084747</v>
      </c>
      <c r="P52" t="s">
        <v>216</v>
      </c>
      <c r="Q52">
        <f>AVERAGE(V31,W31)</f>
        <v>150.74309978768579</v>
      </c>
      <c r="R52">
        <f>_xlfn.STDEV.S(V31,W31)/SQRT(COUNT(V31,W31))</f>
        <v>140.127388535032</v>
      </c>
      <c r="S52">
        <f t="shared" si="21"/>
        <v>22.807245762711869</v>
      </c>
    </row>
    <row r="53" spans="2:19" x14ac:dyDescent="0.25">
      <c r="B53" t="s">
        <v>202</v>
      </c>
      <c r="C53">
        <f>AVERAGE(K31:M31)</f>
        <v>8.6258780261638588</v>
      </c>
      <c r="D53">
        <f>_xlfn.STDEV.S(K31:M31)/SQRT(COUNT(K31:M31))</f>
        <v>2.6955777902720754</v>
      </c>
      <c r="E53">
        <f t="shared" si="20"/>
        <v>1.3050847457627122</v>
      </c>
      <c r="P53" t="s">
        <v>202</v>
      </c>
      <c r="Q53">
        <f>AVERAGE(Y31:AA31)</f>
        <v>163.48195329087051</v>
      </c>
      <c r="R53">
        <f>_xlfn.STDEV.S(Y31:AA31)/SQRT(COUNT(Y31:AA31))</f>
        <v>51.087938070131536</v>
      </c>
      <c r="S53">
        <f t="shared" si="21"/>
        <v>24.734618644067801</v>
      </c>
    </row>
    <row r="54" spans="2:19" x14ac:dyDescent="0.25">
      <c r="B54" t="s">
        <v>217</v>
      </c>
      <c r="C54">
        <f>AVERAGE(C32:D32)</f>
        <v>8.4578414412385872</v>
      </c>
      <c r="D54">
        <f>_xlfn.STDEV.S(C32:D32)/SQRT(COUNT(C32:D32))</f>
        <v>5.2091341326833716</v>
      </c>
      <c r="E54">
        <f t="shared" si="20"/>
        <v>1.2796610169491527</v>
      </c>
      <c r="P54" t="s">
        <v>217</v>
      </c>
      <c r="Q54">
        <f>AVERAGE(Q32:R32)</f>
        <v>160.29723991507433</v>
      </c>
      <c r="R54">
        <f>_xlfn.STDEV.S(Q32:R32)/SQRT(COUNT(Q32:R32))</f>
        <v>98.726114649681605</v>
      </c>
      <c r="S54">
        <f t="shared" si="21"/>
        <v>24.252775423728817</v>
      </c>
    </row>
    <row r="55" spans="2:19" x14ac:dyDescent="0.25">
      <c r="B55" t="s">
        <v>211</v>
      </c>
      <c r="C55">
        <f>AVERAGE(E32,F32)</f>
        <v>2.0724512140783244</v>
      </c>
      <c r="D55">
        <f>_xlfn.STDEV.S(E32,F32)/SQRT(COUNT(E32,F32))</f>
        <v>0.16803658492527018</v>
      </c>
      <c r="E55">
        <f t="shared" si="20"/>
        <v>0.31355932203389758</v>
      </c>
      <c r="P55" t="s">
        <v>211</v>
      </c>
      <c r="Q55">
        <f>AVERAGE(S32:T32)</f>
        <v>39.278131634819445</v>
      </c>
      <c r="R55">
        <f>_xlfn.STDEV.S(S32:U32)/SQRT(COUNT(S32:U32))</f>
        <v>47.806073245000782</v>
      </c>
      <c r="S55">
        <f>Q55/$C$39</f>
        <v>5.942733050847445</v>
      </c>
    </row>
    <row r="56" spans="2:19" x14ac:dyDescent="0.25">
      <c r="B56" t="s">
        <v>201</v>
      </c>
      <c r="C56">
        <f>AVERAGE(I32)</f>
        <v>2.5765609688541349</v>
      </c>
      <c r="D56" t="e">
        <f>_xlfn.STDEV.S(J32)/SQRT(COUNT(J32))</f>
        <v>#DIV/0!</v>
      </c>
      <c r="E56">
        <f t="shared" si="20"/>
        <v>0.38983050847457568</v>
      </c>
      <c r="P56" t="s">
        <v>201</v>
      </c>
      <c r="Q56">
        <f>AVERAGE(W32)</f>
        <v>48.832271762207995</v>
      </c>
      <c r="R56" t="e">
        <f>_xlfn.STDEV.S(X32)/SQRT(COUNT(X32))</f>
        <v>#DIV/0!</v>
      </c>
      <c r="S56">
        <f t="shared" si="21"/>
        <v>7.388262711864396</v>
      </c>
    </row>
    <row r="57" spans="2:19" x14ac:dyDescent="0.25">
      <c r="B57" t="s">
        <v>206</v>
      </c>
      <c r="C57">
        <f>AVERAGE(K32:M32)</f>
        <v>3.4727560884555757</v>
      </c>
      <c r="D57">
        <f>_xlfn.STDEV.S(K32:M32)/SQRT(COUNT(K32:M32))</f>
        <v>1.7498769106040688</v>
      </c>
      <c r="E57">
        <f t="shared" si="20"/>
        <v>0.52542372881355892</v>
      </c>
      <c r="P57" t="s">
        <v>206</v>
      </c>
      <c r="Q57">
        <f>AVERAGE(Y32:AA32)</f>
        <v>65.817409766454304</v>
      </c>
      <c r="R57">
        <f>_xlfn.STDEV.S(Y32:AA32)/SQRT(COUNT(Y32:AA32))</f>
        <v>33.16454214822361</v>
      </c>
      <c r="S57">
        <f t="shared" si="21"/>
        <v>9.9580932203389754</v>
      </c>
    </row>
    <row r="58" spans="2:19" x14ac:dyDescent="0.25">
      <c r="B58" t="s">
        <v>196</v>
      </c>
      <c r="C58">
        <f>AVERAGE(B33:C33)</f>
        <v>18.708073121680052</v>
      </c>
      <c r="D58">
        <f>_xlfn.STDEV.S(B33:C33)/SQRT(COUNT(B33:C33))</f>
        <v>7.0575365668613355</v>
      </c>
      <c r="E58">
        <f t="shared" si="20"/>
        <v>2.8305084745762712</v>
      </c>
      <c r="P58" t="s">
        <v>196</v>
      </c>
      <c r="Q58">
        <f>AVERAGE(P33:Q33)</f>
        <v>354.56475583864119</v>
      </c>
      <c r="R58">
        <f>_xlfn.STDEV.S(P33:Q33)/SQRT(COUNT(P33:Q33))</f>
        <v>133.75796178343947</v>
      </c>
      <c r="S58">
        <f t="shared" si="21"/>
        <v>53.645211864406782</v>
      </c>
    </row>
    <row r="59" spans="2:19" x14ac:dyDescent="0.25">
      <c r="B59" t="s">
        <v>213</v>
      </c>
      <c r="C59">
        <f>AVERAGE(E33,D33)</f>
        <v>2.7445975537794052</v>
      </c>
      <c r="D59">
        <f>_xlfn.STDEV.S(E33,D33)/SQRT(COUNT(E33,D33))</f>
        <v>1.1762560944768907</v>
      </c>
      <c r="E59">
        <f t="shared" si="20"/>
        <v>0.41525423728813504</v>
      </c>
      <c r="P59" t="s">
        <v>213</v>
      </c>
      <c r="Q59">
        <f>AVERAGE(S33,R33)</f>
        <v>52.016985138004181</v>
      </c>
      <c r="R59">
        <f>_xlfn.STDEV.S(S33,R33)/SQRT(COUNT(S33,R33))</f>
        <v>22.292993630573267</v>
      </c>
      <c r="S59">
        <f t="shared" si="21"/>
        <v>7.87010593220338</v>
      </c>
    </row>
    <row r="60" spans="2:19" x14ac:dyDescent="0.25">
      <c r="B60" t="s">
        <v>212</v>
      </c>
      <c r="C60">
        <f>AVERAGE(G33)</f>
        <v>17.027707272427346</v>
      </c>
      <c r="D60" t="e">
        <f>_xlfn.STDEV.S(G33)/SQRT(COUNT(G33))</f>
        <v>#DIV/0!</v>
      </c>
      <c r="E60">
        <f t="shared" si="20"/>
        <v>2.5762711864406769</v>
      </c>
      <c r="P60" t="s">
        <v>212</v>
      </c>
      <c r="Q60">
        <f>AVERAGE(U33)</f>
        <v>322.71762208067923</v>
      </c>
      <c r="R60" t="e">
        <f>_xlfn.STDEV.S(U33)/SQRT(COUNT(U33))</f>
        <v>#DIV/0!</v>
      </c>
      <c r="S60">
        <f t="shared" si="21"/>
        <v>48.826779661016921</v>
      </c>
    </row>
    <row r="61" spans="2:19" x14ac:dyDescent="0.25">
      <c r="B61" t="s">
        <v>209</v>
      </c>
      <c r="C61">
        <f>AVERAGE(H33:I33)</f>
        <v>12.490719479445069</v>
      </c>
      <c r="D61">
        <f>_xlfn.STDEV.S(H33:I33)/SQRT(COUNT(H33:I33))</f>
        <v>0.84018292462634925</v>
      </c>
      <c r="E61">
        <f t="shared" si="20"/>
        <v>1.889830508474577</v>
      </c>
      <c r="P61" t="s">
        <v>209</v>
      </c>
      <c r="Q61">
        <f>AVERAGE(V33:W33)</f>
        <v>236.73036093418267</v>
      </c>
      <c r="R61">
        <f>_xlfn.STDEV.S(V33:W33)/SQRT(COUNT(V33:W33))</f>
        <v>15.923566878980907</v>
      </c>
      <c r="S61">
        <f t="shared" si="21"/>
        <v>35.817012711864422</v>
      </c>
    </row>
    <row r="64" spans="2:19" x14ac:dyDescent="0.25">
      <c r="C64">
        <f>MAX(C38:C63)</f>
        <v>177.67068246098543</v>
      </c>
      <c r="Q64">
        <f>MAX(Q38:Q63)</f>
        <v>3367.3036093418264</v>
      </c>
    </row>
    <row r="70" spans="2:13" x14ac:dyDescent="0.25">
      <c r="B70" t="s">
        <v>220</v>
      </c>
    </row>
    <row r="72" spans="2:13" x14ac:dyDescent="0.25">
      <c r="B72" t="s">
        <v>218</v>
      </c>
    </row>
    <row r="73" spans="2:13" x14ac:dyDescent="0.25">
      <c r="B73" s="11">
        <v>1</v>
      </c>
      <c r="C73" s="11">
        <v>2</v>
      </c>
      <c r="D73" s="11">
        <v>3</v>
      </c>
      <c r="E73" s="11">
        <v>4</v>
      </c>
      <c r="F73" s="11">
        <v>5</v>
      </c>
      <c r="G73" s="11">
        <v>6</v>
      </c>
      <c r="H73" s="11">
        <v>7</v>
      </c>
      <c r="I73" s="11">
        <v>8</v>
      </c>
      <c r="J73" s="11">
        <v>9</v>
      </c>
      <c r="K73" s="11">
        <v>10</v>
      </c>
      <c r="L73" s="11">
        <v>11</v>
      </c>
      <c r="M73" s="11">
        <v>12</v>
      </c>
    </row>
    <row r="74" spans="2:13" x14ac:dyDescent="0.25">
      <c r="B74" s="19">
        <f>(B15-$C$24)</f>
        <v>-2.633333333333332E-2</v>
      </c>
      <c r="C74" s="19">
        <f t="shared" ref="C74:M74" si="22">(C15-$C$24)</f>
        <v>5.6666666666666532E-3</v>
      </c>
      <c r="D74" s="19">
        <f t="shared" si="22"/>
        <v>6.6666666666666541E-3</v>
      </c>
      <c r="E74" s="19">
        <f t="shared" si="22"/>
        <v>2.6666666666666672E-2</v>
      </c>
      <c r="F74" s="19">
        <f t="shared" si="22"/>
        <v>-1.3333333333333364E-2</v>
      </c>
      <c r="G74" s="19">
        <f t="shared" si="22"/>
        <v>1.2666666666666659E-2</v>
      </c>
      <c r="H74" s="19">
        <f t="shared" si="22"/>
        <v>0.38266666666666671</v>
      </c>
      <c r="I74" s="19">
        <f t="shared" si="22"/>
        <v>0.45566666666666666</v>
      </c>
      <c r="J74" s="19">
        <f t="shared" si="22"/>
        <v>0.45866666666666667</v>
      </c>
      <c r="K74" s="19">
        <f t="shared" si="22"/>
        <v>0.51166666666666671</v>
      </c>
      <c r="L74" s="19">
        <f t="shared" si="22"/>
        <v>0.56166666666666665</v>
      </c>
      <c r="M74" s="19">
        <f t="shared" si="22"/>
        <v>0.51266666666666671</v>
      </c>
    </row>
    <row r="75" spans="2:13" x14ac:dyDescent="0.25">
      <c r="B75" s="19">
        <f t="shared" ref="B75:M75" si="23">(B16-$C$24)</f>
        <v>2.6666666666666672E-2</v>
      </c>
      <c r="C75" s="19">
        <f t="shared" si="23"/>
        <v>0.14066666666666666</v>
      </c>
      <c r="D75" s="19">
        <f t="shared" si="23"/>
        <v>5.8666666666666645E-2</v>
      </c>
      <c r="E75" s="19">
        <f t="shared" si="23"/>
        <v>2.8666666666666674E-2</v>
      </c>
      <c r="F75" s="19">
        <f t="shared" si="23"/>
        <v>1.366666666666666E-2</v>
      </c>
      <c r="G75" s="19">
        <f t="shared" si="23"/>
        <v>4.2666666666666686E-2</v>
      </c>
      <c r="H75" s="19">
        <f t="shared" si="23"/>
        <v>3.3666666666666678E-2</v>
      </c>
      <c r="I75" s="19">
        <f t="shared" si="23"/>
        <v>8.6666666666666559E-3</v>
      </c>
      <c r="J75" s="19">
        <f t="shared" si="23"/>
        <v>2.5666666666666671E-2</v>
      </c>
      <c r="K75" s="19">
        <f t="shared" si="23"/>
        <v>2.6666666666666505E-3</v>
      </c>
      <c r="L75" s="19">
        <f t="shared" si="23"/>
        <v>-3.3333333333333548E-3</v>
      </c>
      <c r="M75" s="19">
        <f t="shared" si="23"/>
        <v>3.6666666666666514E-3</v>
      </c>
    </row>
    <row r="76" spans="2:13" x14ac:dyDescent="0.25">
      <c r="B76" s="19">
        <f t="shared" ref="B76:M76" si="24">(B17-$C$24)</f>
        <v>1.8666666666666665E-2</v>
      </c>
      <c r="C76" s="19">
        <f t="shared" si="24"/>
        <v>4.5666666666666689E-2</v>
      </c>
      <c r="D76" s="19">
        <f t="shared" si="24"/>
        <v>3.9666666666666683E-2</v>
      </c>
      <c r="E76" s="19">
        <f t="shared" si="24"/>
        <v>3.7666666666666682E-2</v>
      </c>
      <c r="F76" s="19">
        <f t="shared" si="24"/>
        <v>2.8666666666666674E-2</v>
      </c>
      <c r="G76" s="19">
        <f t="shared" si="24"/>
        <v>0.18666666666666665</v>
      </c>
      <c r="H76" s="19">
        <f t="shared" si="24"/>
        <v>3.7666666666666682E-2</v>
      </c>
      <c r="I76" s="19">
        <f t="shared" si="24"/>
        <v>1.5666666666666662E-2</v>
      </c>
      <c r="J76" s="19">
        <f t="shared" si="24"/>
        <v>7.566666666666666E-2</v>
      </c>
      <c r="K76" s="19">
        <f t="shared" si="24"/>
        <v>1.0666666666666658E-2</v>
      </c>
      <c r="L76" s="19">
        <f t="shared" si="24"/>
        <v>-9.3333333333333601E-3</v>
      </c>
      <c r="M76" s="19">
        <f t="shared" si="24"/>
        <v>1.6666666666666496E-3</v>
      </c>
    </row>
    <row r="77" spans="2:13" x14ac:dyDescent="0.25">
      <c r="B77" s="19">
        <f t="shared" ref="B77:M77" si="25">(B18-$C$24)</f>
        <v>-4.3333333333333557E-3</v>
      </c>
      <c r="C77" s="19">
        <f t="shared" si="25"/>
        <v>-1.333333333333353E-3</v>
      </c>
      <c r="D77" s="19">
        <f t="shared" si="25"/>
        <v>4.6666666666666523E-3</v>
      </c>
      <c r="E77" s="19">
        <f t="shared" si="25"/>
        <v>5.4666666666666641E-2</v>
      </c>
      <c r="F77" s="19">
        <f t="shared" si="25"/>
        <v>2.7666666666666673E-2</v>
      </c>
      <c r="G77" s="19">
        <f t="shared" si="25"/>
        <v>1.7666666666666664E-2</v>
      </c>
      <c r="H77" s="19">
        <f t="shared" si="25"/>
        <v>1.6666666666666496E-3</v>
      </c>
      <c r="I77" s="19">
        <f t="shared" si="25"/>
        <v>4.5666666666666689E-2</v>
      </c>
      <c r="J77" s="19">
        <f t="shared" si="25"/>
        <v>-9.3333333333333601E-3</v>
      </c>
      <c r="K77" s="19">
        <f t="shared" si="25"/>
        <v>1.6666666666666663E-2</v>
      </c>
      <c r="L77" s="19">
        <f t="shared" si="25"/>
        <v>1.8666666666666665E-2</v>
      </c>
      <c r="M77" s="19">
        <f t="shared" si="25"/>
        <v>4.1666666666666685E-2</v>
      </c>
    </row>
    <row r="78" spans="2:13" x14ac:dyDescent="0.25">
      <c r="B78" s="19">
        <f t="shared" ref="B78:M78" si="26">(B19-$C$24)</f>
        <v>-5.3333333333333566E-3</v>
      </c>
      <c r="C78" s="19">
        <f t="shared" si="26"/>
        <v>9.6666666666666567E-3</v>
      </c>
      <c r="D78" s="19">
        <f t="shared" si="26"/>
        <v>4.0666666666666684E-2</v>
      </c>
      <c r="E78" s="19">
        <f t="shared" si="26"/>
        <v>6.6666666666666541E-3</v>
      </c>
      <c r="F78" s="19">
        <f t="shared" si="26"/>
        <v>5.6666666666666532E-3</v>
      </c>
      <c r="G78" s="19">
        <f t="shared" si="26"/>
        <v>-1.6333333333333311E-2</v>
      </c>
      <c r="H78" s="19">
        <f t="shared" si="26"/>
        <v>-3.3333333333333548E-3</v>
      </c>
      <c r="I78" s="19">
        <f t="shared" si="26"/>
        <v>7.666666666666655E-3</v>
      </c>
      <c r="J78" s="19">
        <f t="shared" si="26"/>
        <v>-4.2333333333333334E-2</v>
      </c>
      <c r="K78" s="19">
        <f t="shared" si="26"/>
        <v>9.6666666666666567E-3</v>
      </c>
      <c r="L78" s="19">
        <f t="shared" si="26"/>
        <v>1.9666666666666666E-2</v>
      </c>
      <c r="M78" s="19">
        <f t="shared" si="26"/>
        <v>1.6666666666666496E-3</v>
      </c>
    </row>
    <row r="79" spans="2:13" x14ac:dyDescent="0.25">
      <c r="B79" s="19">
        <f t="shared" ref="B79:M79" si="27">(B20-$C$24)</f>
        <v>3.4666666666666679E-2</v>
      </c>
      <c r="C79" s="19">
        <f t="shared" si="27"/>
        <v>7.6666666666666661E-2</v>
      </c>
      <c r="D79" s="19">
        <f t="shared" si="27"/>
        <v>4.6666666666666523E-3</v>
      </c>
      <c r="E79" s="19">
        <f t="shared" si="27"/>
        <v>1.1666666666666659E-2</v>
      </c>
      <c r="F79" s="19">
        <f t="shared" si="27"/>
        <v>-3.3333333333333548E-3</v>
      </c>
      <c r="G79" s="19">
        <f t="shared" si="27"/>
        <v>5.0666666666666638E-2</v>
      </c>
      <c r="H79" s="19">
        <f t="shared" si="27"/>
        <v>3.9666666666666683E-2</v>
      </c>
      <c r="I79" s="19">
        <f t="shared" si="27"/>
        <v>3.4666666666666679E-2</v>
      </c>
      <c r="J79" s="19">
        <f t="shared" si="27"/>
        <v>-13.215333333333334</v>
      </c>
      <c r="K79" s="19">
        <f t="shared" si="27"/>
        <v>-9.8023333333333333</v>
      </c>
      <c r="L79" s="19">
        <f t="shared" si="27"/>
        <v>-9.9853333333333332</v>
      </c>
      <c r="M79" s="19">
        <f t="shared" si="27"/>
        <v>-7.8363333333333332</v>
      </c>
    </row>
    <row r="80" spans="2:13" x14ac:dyDescent="0.25">
      <c r="B80" s="19">
        <f t="shared" ref="B80:M80" si="28">(B21-$C$24)</f>
        <v>-13.783333333333333</v>
      </c>
      <c r="C80" s="19">
        <f t="shared" si="28"/>
        <v>-1.3333333333333364E-2</v>
      </c>
      <c r="D80" s="19">
        <f t="shared" si="28"/>
        <v>2.3666666666666669E-2</v>
      </c>
      <c r="E80" s="19">
        <f t="shared" si="28"/>
        <v>-1.0333333333333361E-2</v>
      </c>
      <c r="F80" s="19">
        <f t="shared" si="28"/>
        <v>-15.993333333333332</v>
      </c>
      <c r="G80" s="19">
        <f t="shared" si="28"/>
        <v>-9.8233333333333324</v>
      </c>
      <c r="H80" s="19">
        <f t="shared" si="28"/>
        <v>-13.513333333333334</v>
      </c>
      <c r="I80" s="19">
        <f t="shared" si="28"/>
        <v>-13.188333333333333</v>
      </c>
      <c r="J80" s="19">
        <f t="shared" si="28"/>
        <v>-8.8543333333333329</v>
      </c>
      <c r="K80" s="19">
        <f t="shared" si="28"/>
        <v>-7.1353333333333335</v>
      </c>
      <c r="L80" s="19">
        <f t="shared" si="28"/>
        <v>-6.9043333333333328</v>
      </c>
      <c r="M80" s="19">
        <f t="shared" si="28"/>
        <v>-8.8363333333333323</v>
      </c>
    </row>
    <row r="81" spans="2:13" x14ac:dyDescent="0.25">
      <c r="B81" s="15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7"/>
    </row>
    <row r="83" spans="2:13" x14ac:dyDescent="0.25">
      <c r="C83" t="s">
        <v>192</v>
      </c>
      <c r="D83" t="s">
        <v>193</v>
      </c>
    </row>
    <row r="84" spans="2:13" x14ac:dyDescent="0.25">
      <c r="B84" t="s">
        <v>208</v>
      </c>
      <c r="C84">
        <f>AVERAGE(D74,C74)</f>
        <v>6.1666666666666536E-3</v>
      </c>
      <c r="D84">
        <f>_xlfn.STDEV.S(D74,C74)/SQRT(COUNT(D74,C74))</f>
        <v>5.0000000000000044E-4</v>
      </c>
    </row>
    <row r="85" spans="2:13" x14ac:dyDescent="0.25">
      <c r="B85" t="s">
        <v>197</v>
      </c>
      <c r="C85">
        <f>AVERAGE(E74,G74)</f>
        <v>1.9666666666666666E-2</v>
      </c>
      <c r="D85">
        <f>_xlfn.STDEV.S(E74,G74)/SQRT(COUNT(E74,G74))</f>
        <v>7.0000000000000062E-3</v>
      </c>
      <c r="E85">
        <f>C85/$C$39</f>
        <v>2.9755425E-3</v>
      </c>
    </row>
    <row r="86" spans="2:13" x14ac:dyDescent="0.25">
      <c r="B86" t="s">
        <v>195</v>
      </c>
      <c r="C86">
        <f>AVERAGE(H74,I74,J74)</f>
        <v>0.4323333333333334</v>
      </c>
      <c r="D86">
        <f>_xlfn.STDEV.S(H74,I74,J74)/SQRT(COUNT(H74,I74,J74))</f>
        <v>2.4848429416050501E-2</v>
      </c>
      <c r="E86">
        <f t="shared" ref="E86:E107" si="29">C86/$C$39</f>
        <v>6.5411502076271194E-2</v>
      </c>
    </row>
    <row r="87" spans="2:13" x14ac:dyDescent="0.25">
      <c r="B87" t="s">
        <v>194</v>
      </c>
      <c r="C87">
        <f>AVERAGE(K74,L74,M74)</f>
        <v>0.52866666666666662</v>
      </c>
      <c r="D87">
        <f>_xlfn.STDEV.S(K74,L74,M74)/SQRT(COUNT(K74,L74,M74))</f>
        <v>1.6502525059315397E-2</v>
      </c>
      <c r="E87">
        <f t="shared" si="29"/>
        <v>7.9986617033898297E-2</v>
      </c>
    </row>
    <row r="88" spans="2:13" x14ac:dyDescent="0.25">
      <c r="B88" t="s">
        <v>204</v>
      </c>
      <c r="C88">
        <f>AVERAGE(B75:D75)</f>
        <v>7.5333333333333322E-2</v>
      </c>
      <c r="D88">
        <f>_xlfn.STDEV.S(B75:D75)/SQRT(COUNT(B75:D75))</f>
        <v>3.3947672150597373E-2</v>
      </c>
      <c r="E88">
        <f t="shared" si="29"/>
        <v>1.1397840762711864E-2</v>
      </c>
    </row>
    <row r="89" spans="2:13" x14ac:dyDescent="0.25">
      <c r="B89" t="s">
        <v>210</v>
      </c>
      <c r="C89">
        <f>AVERAGE(E75:G75)</f>
        <v>2.8333333333333339E-2</v>
      </c>
      <c r="D89">
        <f>_xlfn.STDEV.S(E75:G75)/SQRT(COUNT(E75:G75))</f>
        <v>8.3732377913869876E-3</v>
      </c>
      <c r="E89">
        <f t="shared" si="29"/>
        <v>4.2867985169491533E-3</v>
      </c>
    </row>
    <row r="90" spans="2:13" x14ac:dyDescent="0.25">
      <c r="B90" t="s">
        <v>198</v>
      </c>
      <c r="C90">
        <f>AVERAGE(H75:J75)</f>
        <v>2.2666666666666668E-2</v>
      </c>
      <c r="D90">
        <f>_xlfn.STDEV.S(H75:J75)/SQRT(COUNT(H75:J75))</f>
        <v>7.3711147958319999E-3</v>
      </c>
      <c r="E90">
        <f t="shared" si="29"/>
        <v>3.4294388135593223E-3</v>
      </c>
    </row>
    <row r="91" spans="2:13" x14ac:dyDescent="0.25">
      <c r="B91" t="s">
        <v>207</v>
      </c>
      <c r="C91">
        <f>AVERAGE(K75,M75)</f>
        <v>3.166666666666651E-3</v>
      </c>
      <c r="D91">
        <f>_xlfn.STDEV.S(K75,M75)/SQRT(COUNT(K75,M75))</f>
        <v>5.0000000000000044E-4</v>
      </c>
      <c r="E91">
        <f t="shared" si="29"/>
        <v>4.7911277542372644E-4</v>
      </c>
    </row>
    <row r="92" spans="2:13" x14ac:dyDescent="0.25">
      <c r="B92" t="s">
        <v>199</v>
      </c>
      <c r="C92">
        <f>AVERAGE(B76:D76)</f>
        <v>3.4666666666666679E-2</v>
      </c>
      <c r="D92">
        <f>_xlfn.STDEV.S(B76:D76)/SQRT(COUNT(B76:D76))</f>
        <v>8.18535277187246E-3</v>
      </c>
      <c r="E92">
        <f t="shared" si="29"/>
        <v>5.2450240677966121E-3</v>
      </c>
    </row>
    <row r="93" spans="2:13" x14ac:dyDescent="0.25">
      <c r="B93" t="s">
        <v>200</v>
      </c>
      <c r="C93">
        <f>AVERAGE(E76:G76)</f>
        <v>8.433333333333333E-2</v>
      </c>
      <c r="D93">
        <f>_xlfn.STDEV.S(E76:G76)/SQRT(COUNT(E76:G76))</f>
        <v>5.123258511706956E-2</v>
      </c>
      <c r="E93">
        <f t="shared" si="29"/>
        <v>1.2759529703389831E-2</v>
      </c>
    </row>
    <row r="94" spans="2:13" x14ac:dyDescent="0.25">
      <c r="B94" t="s">
        <v>214</v>
      </c>
      <c r="C94">
        <f>AVERAGE(H76:J76)</f>
        <v>4.3000000000000003E-2</v>
      </c>
      <c r="D94">
        <f>_xlfn.STDEV.S(H76:J76)/SQRT(COUNT(H76:J76))</f>
        <v>1.7524585904126557E-2</v>
      </c>
      <c r="E94">
        <f t="shared" si="29"/>
        <v>6.5058471610169501E-3</v>
      </c>
    </row>
    <row r="95" spans="2:13" x14ac:dyDescent="0.25">
      <c r="B95" t="s">
        <v>203</v>
      </c>
      <c r="C95">
        <f>AVERAGE(K76,M76)</f>
        <v>6.1666666666666536E-3</v>
      </c>
      <c r="D95">
        <f>_xlfn.STDEV.S(K76,M76)/SQRT(COUNT(K76,M76))</f>
        <v>4.500000000000004E-3</v>
      </c>
      <c r="E95">
        <f t="shared" si="29"/>
        <v>9.3300908898304895E-4</v>
      </c>
    </row>
    <row r="96" spans="2:13" x14ac:dyDescent="0.25">
      <c r="B96" t="s">
        <v>215</v>
      </c>
      <c r="C96">
        <f>AVERAGE(D77)</f>
        <v>4.6666666666666523E-3</v>
      </c>
      <c r="D96" t="e">
        <f>_xlfn.STDEV.S(D77)/SQRT(COUNT(D77))</f>
        <v>#DIV/0!</v>
      </c>
      <c r="E96">
        <f t="shared" si="29"/>
        <v>7.0606093220338772E-4</v>
      </c>
    </row>
    <row r="97" spans="2:5" x14ac:dyDescent="0.25">
      <c r="B97" t="s">
        <v>205</v>
      </c>
      <c r="C97">
        <f>AVERAGE(E77:G77)</f>
        <v>3.3333333333333326E-2</v>
      </c>
      <c r="D97">
        <f>_xlfn.STDEV.S(E77:G77)/SQRT(COUNT(E77:G77))</f>
        <v>1.1050389636167177E-2</v>
      </c>
      <c r="E97">
        <f t="shared" si="29"/>
        <v>5.0432923728813547E-3</v>
      </c>
    </row>
    <row r="98" spans="2:5" x14ac:dyDescent="0.25">
      <c r="B98" t="s">
        <v>216</v>
      </c>
      <c r="C98">
        <f>AVERAGE(H77,I77)</f>
        <v>2.3666666666666669E-2</v>
      </c>
      <c r="D98">
        <f>_xlfn.STDEV.S(H77,I77)/SQRT(COUNT(H77,I77))</f>
        <v>2.200000000000002E-2</v>
      </c>
      <c r="E98">
        <f t="shared" si="29"/>
        <v>3.5807375847457632E-3</v>
      </c>
    </row>
    <row r="99" spans="2:5" x14ac:dyDescent="0.25">
      <c r="B99" t="s">
        <v>202</v>
      </c>
      <c r="C99">
        <f>AVERAGE(K77:M77)</f>
        <v>2.5666666666666671E-2</v>
      </c>
      <c r="D99">
        <f>_xlfn.STDEV.S(K77:M77)/SQRT(COUNT(K77:M77))</f>
        <v>8.0208062770106541E-3</v>
      </c>
      <c r="E99">
        <f t="shared" si="29"/>
        <v>3.8833351271186449E-3</v>
      </c>
    </row>
    <row r="100" spans="2:5" x14ac:dyDescent="0.25">
      <c r="B100" t="s">
        <v>217</v>
      </c>
      <c r="C100">
        <f>AVERAGE(C78:D78)</f>
        <v>2.5166666666666671E-2</v>
      </c>
      <c r="D100">
        <f>_xlfn.STDEV.S(C78:D78)/SQRT(COUNT(C78:D78))</f>
        <v>1.550000000000001E-2</v>
      </c>
      <c r="E100">
        <f t="shared" si="29"/>
        <v>3.8076857415254243E-3</v>
      </c>
    </row>
    <row r="101" spans="2:5" x14ac:dyDescent="0.25">
      <c r="B101" t="s">
        <v>211</v>
      </c>
      <c r="C101">
        <f>AVERAGE(E78:F78)</f>
        <v>6.1666666666666536E-3</v>
      </c>
      <c r="D101">
        <f>_xlfn.STDEV.S(E78:G78)/SQRT(COUNT(E78:G78))</f>
        <v>7.5055534994651237E-3</v>
      </c>
      <c r="E101">
        <f t="shared" si="29"/>
        <v>9.3300908898304895E-4</v>
      </c>
    </row>
    <row r="102" spans="2:5" x14ac:dyDescent="0.25">
      <c r="B102" t="s">
        <v>201</v>
      </c>
      <c r="C102">
        <f>AVERAGE(I78)</f>
        <v>7.666666666666655E-3</v>
      </c>
      <c r="D102" t="e">
        <f>_xlfn.STDEV.S(J78)/SQRT(COUNT(J78))</f>
        <v>#DIV/0!</v>
      </c>
      <c r="E102">
        <f t="shared" si="29"/>
        <v>1.1599572457627102E-3</v>
      </c>
    </row>
    <row r="103" spans="2:5" x14ac:dyDescent="0.25">
      <c r="B103" t="s">
        <v>206</v>
      </c>
      <c r="C103">
        <f>AVERAGE(K78:M78)</f>
        <v>1.0333333333333325E-2</v>
      </c>
      <c r="D103">
        <f>_xlfn.STDEV.S(K78:M78)/SQRT(COUNT(K78:M78))</f>
        <v>5.2068331172711061E-3</v>
      </c>
      <c r="E103">
        <f t="shared" si="29"/>
        <v>1.5634206355932192E-3</v>
      </c>
    </row>
    <row r="104" spans="2:5" x14ac:dyDescent="0.25">
      <c r="B104" t="s">
        <v>196</v>
      </c>
      <c r="C104">
        <f>AVERAGE(B79:C79)</f>
        <v>5.566666666666667E-2</v>
      </c>
      <c r="D104">
        <f>_xlfn.STDEV.S(B79:C79)/SQRT(COUNT(B79:C79))</f>
        <v>2.0999999999999998E-2</v>
      </c>
      <c r="E104">
        <f t="shared" si="29"/>
        <v>8.4222982627118644E-3</v>
      </c>
    </row>
    <row r="105" spans="2:5" x14ac:dyDescent="0.25">
      <c r="B105" t="s">
        <v>213</v>
      </c>
      <c r="C105">
        <f>AVERAGE(E79,D79)</f>
        <v>8.1666666666666554E-3</v>
      </c>
      <c r="D105">
        <f>_xlfn.STDEV.S(E79,D79)/SQRT(COUNT(E79,D79))</f>
        <v>3.5000000000000031E-3</v>
      </c>
      <c r="E105">
        <f t="shared" si="29"/>
        <v>1.2356066313559306E-3</v>
      </c>
    </row>
    <row r="106" spans="2:5" x14ac:dyDescent="0.25">
      <c r="B106" t="s">
        <v>212</v>
      </c>
      <c r="C106">
        <f>AVERAGE(G79)</f>
        <v>5.0666666666666638E-2</v>
      </c>
      <c r="D106" t="e">
        <f>_xlfn.STDEV.S(G79)/SQRT(COUNT(G79))</f>
        <v>#DIV/0!</v>
      </c>
      <c r="E106">
        <f t="shared" si="29"/>
        <v>7.6658044067796569E-3</v>
      </c>
    </row>
    <row r="107" spans="2:5" x14ac:dyDescent="0.25">
      <c r="B107" t="s">
        <v>209</v>
      </c>
      <c r="C107">
        <f>AVERAGE(H79:I79)</f>
        <v>3.7166666666666681E-2</v>
      </c>
      <c r="D107">
        <f>_xlfn.STDEV.S(H79:I79)/SQRT(COUNT(H79:I79))</f>
        <v>2.5000000000000022E-3</v>
      </c>
      <c r="E107">
        <f t="shared" si="29"/>
        <v>5.6232709957627141E-3</v>
      </c>
    </row>
    <row r="110" spans="2:5" x14ac:dyDescent="0.25">
      <c r="C110">
        <f>MAX(C84:C109)</f>
        <v>0.52866666666666662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4"/>
  <sheetViews>
    <sheetView workbookViewId="0"/>
  </sheetViews>
  <sheetFormatPr baseColWidth="10" defaultColWidth="8.85546875"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5" spans="1:8" x14ac:dyDescent="0.25">
      <c r="A5" t="s">
        <v>4</v>
      </c>
    </row>
    <row r="6" spans="1:8" x14ac:dyDescent="0.25">
      <c r="A6" t="s">
        <v>5</v>
      </c>
    </row>
    <row r="7" spans="1:8" x14ac:dyDescent="0.25">
      <c r="A7" t="s">
        <v>6</v>
      </c>
      <c r="D7" t="s">
        <v>7</v>
      </c>
      <c r="H7" t="s">
        <v>8</v>
      </c>
    </row>
    <row r="10" spans="1:8" ht="45.75" thickBot="1" x14ac:dyDescent="0.3">
      <c r="A10" s="1" t="s">
        <v>9</v>
      </c>
      <c r="B10" s="8" t="s">
        <v>10</v>
      </c>
      <c r="C10" s="5" t="s">
        <v>11</v>
      </c>
    </row>
    <row r="11" spans="1:8" x14ac:dyDescent="0.25">
      <c r="A11" s="2" t="s">
        <v>12</v>
      </c>
      <c r="B11" s="9" t="s">
        <v>13</v>
      </c>
      <c r="C11" s="6">
        <v>0.27</v>
      </c>
    </row>
    <row r="12" spans="1:8" x14ac:dyDescent="0.25">
      <c r="A12" s="3" t="s">
        <v>14</v>
      </c>
      <c r="B12" s="10" t="s">
        <v>15</v>
      </c>
      <c r="C12" s="7">
        <v>0.30199999999999999</v>
      </c>
    </row>
    <row r="13" spans="1:8" x14ac:dyDescent="0.25">
      <c r="A13" s="3" t="s">
        <v>16</v>
      </c>
      <c r="B13" s="10" t="s">
        <v>17</v>
      </c>
      <c r="C13" s="7">
        <v>0.30299999999999999</v>
      </c>
    </row>
    <row r="14" spans="1:8" x14ac:dyDescent="0.25">
      <c r="A14" s="3" t="s">
        <v>18</v>
      </c>
      <c r="B14" s="10" t="s">
        <v>19</v>
      </c>
      <c r="C14" s="7">
        <v>0.32300000000000001</v>
      </c>
    </row>
    <row r="15" spans="1:8" x14ac:dyDescent="0.25">
      <c r="A15" s="3" t="s">
        <v>20</v>
      </c>
      <c r="B15" s="10" t="s">
        <v>21</v>
      </c>
      <c r="C15" s="7">
        <v>0.28299999999999997</v>
      </c>
    </row>
    <row r="16" spans="1:8" x14ac:dyDescent="0.25">
      <c r="A16" s="3" t="s">
        <v>22</v>
      </c>
      <c r="B16" s="10" t="s">
        <v>23</v>
      </c>
      <c r="C16" s="7">
        <v>0.309</v>
      </c>
    </row>
    <row r="17" spans="1:3" x14ac:dyDescent="0.25">
      <c r="A17" s="3" t="s">
        <v>24</v>
      </c>
      <c r="B17" s="10" t="s">
        <v>25</v>
      </c>
      <c r="C17" s="7">
        <v>0.67900000000000005</v>
      </c>
    </row>
    <row r="18" spans="1:3" x14ac:dyDescent="0.25">
      <c r="A18" s="3" t="s">
        <v>26</v>
      </c>
      <c r="B18" s="10" t="s">
        <v>27</v>
      </c>
      <c r="C18" s="7">
        <v>0.752</v>
      </c>
    </row>
    <row r="19" spans="1:3" x14ac:dyDescent="0.25">
      <c r="A19" s="3" t="s">
        <v>28</v>
      </c>
      <c r="B19" s="10" t="s">
        <v>29</v>
      </c>
      <c r="C19" s="7">
        <v>0.755</v>
      </c>
    </row>
    <row r="20" spans="1:3" x14ac:dyDescent="0.25">
      <c r="A20" s="3" t="s">
        <v>30</v>
      </c>
      <c r="B20" s="10" t="s">
        <v>31</v>
      </c>
      <c r="C20" s="7">
        <v>0.80800000000000005</v>
      </c>
    </row>
    <row r="21" spans="1:3" x14ac:dyDescent="0.25">
      <c r="A21" s="3" t="s">
        <v>32</v>
      </c>
      <c r="B21" s="10" t="s">
        <v>33</v>
      </c>
      <c r="C21" s="7">
        <v>0.85799999999999998</v>
      </c>
    </row>
    <row r="22" spans="1:3" x14ac:dyDescent="0.25">
      <c r="A22" s="3" t="s">
        <v>34</v>
      </c>
      <c r="B22" s="10" t="s">
        <v>35</v>
      </c>
      <c r="C22" s="7">
        <v>0.80900000000000005</v>
      </c>
    </row>
    <row r="23" spans="1:3" x14ac:dyDescent="0.25">
      <c r="A23" s="3" t="s">
        <v>36</v>
      </c>
      <c r="B23" s="10" t="s">
        <v>37</v>
      </c>
      <c r="C23" s="7">
        <v>0.32300000000000001</v>
      </c>
    </row>
    <row r="24" spans="1:3" x14ac:dyDescent="0.25">
      <c r="A24" s="3" t="s">
        <v>38</v>
      </c>
      <c r="B24" s="10" t="s">
        <v>39</v>
      </c>
      <c r="C24" s="7">
        <v>0.437</v>
      </c>
    </row>
    <row r="25" spans="1:3" x14ac:dyDescent="0.25">
      <c r="A25" s="3" t="s">
        <v>40</v>
      </c>
      <c r="B25" s="10" t="s">
        <v>41</v>
      </c>
      <c r="C25" s="7">
        <v>0.35499999999999998</v>
      </c>
    </row>
    <row r="26" spans="1:3" x14ac:dyDescent="0.25">
      <c r="A26" s="3" t="s">
        <v>42</v>
      </c>
      <c r="B26" s="10" t="s">
        <v>43</v>
      </c>
      <c r="C26" s="7">
        <v>0.32500000000000001</v>
      </c>
    </row>
    <row r="27" spans="1:3" x14ac:dyDescent="0.25">
      <c r="A27" s="3" t="s">
        <v>44</v>
      </c>
      <c r="B27" s="10" t="s">
        <v>45</v>
      </c>
      <c r="C27" s="7">
        <v>0.31</v>
      </c>
    </row>
    <row r="28" spans="1:3" x14ac:dyDescent="0.25">
      <c r="A28" s="3" t="s">
        <v>46</v>
      </c>
      <c r="B28" s="10" t="s">
        <v>47</v>
      </c>
      <c r="C28" s="7">
        <v>0.33900000000000002</v>
      </c>
    </row>
    <row r="29" spans="1:3" x14ac:dyDescent="0.25">
      <c r="A29" s="3" t="s">
        <v>48</v>
      </c>
      <c r="B29" s="10" t="s">
        <v>49</v>
      </c>
      <c r="C29" s="7">
        <v>0.33</v>
      </c>
    </row>
    <row r="30" spans="1:3" x14ac:dyDescent="0.25">
      <c r="A30" s="3" t="s">
        <v>50</v>
      </c>
      <c r="B30" s="10" t="s">
        <v>51</v>
      </c>
      <c r="C30" s="7">
        <v>0.30499999999999999</v>
      </c>
    </row>
    <row r="31" spans="1:3" x14ac:dyDescent="0.25">
      <c r="A31" s="3" t="s">
        <v>52</v>
      </c>
      <c r="B31" s="10" t="s">
        <v>53</v>
      </c>
      <c r="C31" s="7">
        <v>0.32200000000000001</v>
      </c>
    </row>
    <row r="32" spans="1:3" x14ac:dyDescent="0.25">
      <c r="A32" s="3" t="s">
        <v>54</v>
      </c>
      <c r="B32" s="10" t="s">
        <v>55</v>
      </c>
      <c r="C32" s="7">
        <v>0.29899999999999999</v>
      </c>
    </row>
    <row r="33" spans="1:3" x14ac:dyDescent="0.25">
      <c r="A33" s="3" t="s">
        <v>56</v>
      </c>
      <c r="B33" s="10" t="s">
        <v>57</v>
      </c>
      <c r="C33" s="7">
        <v>0.29299999999999998</v>
      </c>
    </row>
    <row r="34" spans="1:3" x14ac:dyDescent="0.25">
      <c r="A34" s="3" t="s">
        <v>58</v>
      </c>
      <c r="B34" s="10" t="s">
        <v>59</v>
      </c>
      <c r="C34" s="7">
        <v>0.3</v>
      </c>
    </row>
    <row r="35" spans="1:3" x14ac:dyDescent="0.25">
      <c r="A35" s="3" t="s">
        <v>60</v>
      </c>
      <c r="B35" s="10" t="s">
        <v>61</v>
      </c>
      <c r="C35" s="7">
        <v>0.315</v>
      </c>
    </row>
    <row r="36" spans="1:3" x14ac:dyDescent="0.25">
      <c r="A36" s="3" t="s">
        <v>62</v>
      </c>
      <c r="B36" s="10" t="s">
        <v>63</v>
      </c>
      <c r="C36" s="7">
        <v>0.34200000000000003</v>
      </c>
    </row>
    <row r="37" spans="1:3" x14ac:dyDescent="0.25">
      <c r="A37" s="3" t="s">
        <v>64</v>
      </c>
      <c r="B37" s="10" t="s">
        <v>65</v>
      </c>
      <c r="C37" s="7">
        <v>0.33600000000000002</v>
      </c>
    </row>
    <row r="38" spans="1:3" x14ac:dyDescent="0.25">
      <c r="A38" s="3" t="s">
        <v>66</v>
      </c>
      <c r="B38" s="10" t="s">
        <v>67</v>
      </c>
      <c r="C38" s="7">
        <v>0.33400000000000002</v>
      </c>
    </row>
    <row r="39" spans="1:3" x14ac:dyDescent="0.25">
      <c r="A39" s="3" t="s">
        <v>68</v>
      </c>
      <c r="B39" s="10" t="s">
        <v>69</v>
      </c>
      <c r="C39" s="7">
        <v>0.32500000000000001</v>
      </c>
    </row>
    <row r="40" spans="1:3" x14ac:dyDescent="0.25">
      <c r="A40" s="3" t="s">
        <v>70</v>
      </c>
      <c r="B40" s="10" t="s">
        <v>71</v>
      </c>
      <c r="C40" s="7">
        <v>0.48299999999999998</v>
      </c>
    </row>
    <row r="41" spans="1:3" x14ac:dyDescent="0.25">
      <c r="A41" s="3" t="s">
        <v>72</v>
      </c>
      <c r="B41" s="10" t="s">
        <v>73</v>
      </c>
      <c r="C41" s="7">
        <v>0.33400000000000002</v>
      </c>
    </row>
    <row r="42" spans="1:3" x14ac:dyDescent="0.25">
      <c r="A42" s="3" t="s">
        <v>74</v>
      </c>
      <c r="B42" s="10" t="s">
        <v>75</v>
      </c>
      <c r="C42" s="7">
        <v>0.312</v>
      </c>
    </row>
    <row r="43" spans="1:3" x14ac:dyDescent="0.25">
      <c r="A43" s="3" t="s">
        <v>76</v>
      </c>
      <c r="B43" s="10" t="s">
        <v>77</v>
      </c>
      <c r="C43" s="7">
        <v>0.372</v>
      </c>
    </row>
    <row r="44" spans="1:3" x14ac:dyDescent="0.25">
      <c r="A44" s="3" t="s">
        <v>78</v>
      </c>
      <c r="B44" s="10" t="s">
        <v>79</v>
      </c>
      <c r="C44" s="7">
        <v>0.307</v>
      </c>
    </row>
    <row r="45" spans="1:3" x14ac:dyDescent="0.25">
      <c r="A45" s="3" t="s">
        <v>80</v>
      </c>
      <c r="B45" s="10" t="s">
        <v>81</v>
      </c>
      <c r="C45" s="7">
        <v>0.28699999999999998</v>
      </c>
    </row>
    <row r="46" spans="1:3" x14ac:dyDescent="0.25">
      <c r="A46" s="3" t="s">
        <v>82</v>
      </c>
      <c r="B46" s="10" t="s">
        <v>83</v>
      </c>
      <c r="C46" s="7">
        <v>0.29799999999999999</v>
      </c>
    </row>
    <row r="47" spans="1:3" x14ac:dyDescent="0.25">
      <c r="A47" s="3" t="s">
        <v>84</v>
      </c>
      <c r="B47" s="10" t="s">
        <v>85</v>
      </c>
      <c r="C47" s="7">
        <v>0.29199999999999998</v>
      </c>
    </row>
    <row r="48" spans="1:3" x14ac:dyDescent="0.25">
      <c r="A48" s="3" t="s">
        <v>86</v>
      </c>
      <c r="B48" s="10" t="s">
        <v>87</v>
      </c>
      <c r="C48" s="7">
        <v>0.29499999999999998</v>
      </c>
    </row>
    <row r="49" spans="1:3" x14ac:dyDescent="0.25">
      <c r="A49" s="3" t="s">
        <v>88</v>
      </c>
      <c r="B49" s="10" t="s">
        <v>89</v>
      </c>
      <c r="C49" s="7">
        <v>0.30099999999999999</v>
      </c>
    </row>
    <row r="50" spans="1:3" x14ac:dyDescent="0.25">
      <c r="A50" s="3" t="s">
        <v>90</v>
      </c>
      <c r="B50" s="10" t="s">
        <v>91</v>
      </c>
      <c r="C50" s="7">
        <v>0.35099999999999998</v>
      </c>
    </row>
    <row r="51" spans="1:3" x14ac:dyDescent="0.25">
      <c r="A51" s="3" t="s">
        <v>92</v>
      </c>
      <c r="B51" s="10" t="s">
        <v>93</v>
      </c>
      <c r="C51" s="7">
        <v>0.32400000000000001</v>
      </c>
    </row>
    <row r="52" spans="1:3" x14ac:dyDescent="0.25">
      <c r="A52" s="3" t="s">
        <v>94</v>
      </c>
      <c r="B52" s="10" t="s">
        <v>95</v>
      </c>
      <c r="C52" s="7">
        <v>0.314</v>
      </c>
    </row>
    <row r="53" spans="1:3" x14ac:dyDescent="0.25">
      <c r="A53" s="3" t="s">
        <v>96</v>
      </c>
      <c r="B53" s="10" t="s">
        <v>97</v>
      </c>
      <c r="C53" s="7">
        <v>0.29799999999999999</v>
      </c>
    </row>
    <row r="54" spans="1:3" x14ac:dyDescent="0.25">
      <c r="A54" s="3" t="s">
        <v>98</v>
      </c>
      <c r="B54" s="10" t="s">
        <v>99</v>
      </c>
      <c r="C54" s="7">
        <v>0.34200000000000003</v>
      </c>
    </row>
    <row r="55" spans="1:3" x14ac:dyDescent="0.25">
      <c r="A55" s="3" t="s">
        <v>100</v>
      </c>
      <c r="B55" s="10" t="s">
        <v>101</v>
      </c>
      <c r="C55" s="7">
        <v>0.28699999999999998</v>
      </c>
    </row>
    <row r="56" spans="1:3" x14ac:dyDescent="0.25">
      <c r="A56" s="3" t="s">
        <v>102</v>
      </c>
      <c r="B56" s="10" t="s">
        <v>103</v>
      </c>
      <c r="C56" s="7">
        <v>0.313</v>
      </c>
    </row>
    <row r="57" spans="1:3" x14ac:dyDescent="0.25">
      <c r="A57" s="3" t="s">
        <v>104</v>
      </c>
      <c r="B57" s="10" t="s">
        <v>105</v>
      </c>
      <c r="C57" s="7">
        <v>0.315</v>
      </c>
    </row>
    <row r="58" spans="1:3" x14ac:dyDescent="0.25">
      <c r="A58" s="3" t="s">
        <v>106</v>
      </c>
      <c r="B58" s="10" t="s">
        <v>107</v>
      </c>
      <c r="C58" s="7">
        <v>0.33800000000000002</v>
      </c>
    </row>
    <row r="59" spans="1:3" x14ac:dyDescent="0.25">
      <c r="A59" s="3" t="s">
        <v>108</v>
      </c>
      <c r="B59" s="10" t="s">
        <v>109</v>
      </c>
      <c r="C59" s="7">
        <v>0.29099999999999998</v>
      </c>
    </row>
    <row r="60" spans="1:3" x14ac:dyDescent="0.25">
      <c r="A60" s="3" t="s">
        <v>110</v>
      </c>
      <c r="B60" s="10" t="s">
        <v>111</v>
      </c>
      <c r="C60" s="7">
        <v>0.30599999999999999</v>
      </c>
    </row>
    <row r="61" spans="1:3" x14ac:dyDescent="0.25">
      <c r="A61" s="3" t="s">
        <v>112</v>
      </c>
      <c r="B61" s="10" t="s">
        <v>113</v>
      </c>
      <c r="C61" s="7">
        <v>0.33700000000000002</v>
      </c>
    </row>
    <row r="62" spans="1:3" x14ac:dyDescent="0.25">
      <c r="A62" s="3" t="s">
        <v>114</v>
      </c>
      <c r="B62" s="10" t="s">
        <v>115</v>
      </c>
      <c r="C62" s="7">
        <v>0.30299999999999999</v>
      </c>
    </row>
    <row r="63" spans="1:3" x14ac:dyDescent="0.25">
      <c r="A63" s="3" t="s">
        <v>116</v>
      </c>
      <c r="B63" s="10" t="s">
        <v>117</v>
      </c>
      <c r="C63" s="7">
        <v>0.30199999999999999</v>
      </c>
    </row>
    <row r="64" spans="1:3" x14ac:dyDescent="0.25">
      <c r="A64" s="3" t="s">
        <v>118</v>
      </c>
      <c r="B64" s="10" t="s">
        <v>119</v>
      </c>
      <c r="C64" s="7">
        <v>0.28000000000000003</v>
      </c>
    </row>
    <row r="65" spans="1:3" x14ac:dyDescent="0.25">
      <c r="A65" s="3" t="s">
        <v>120</v>
      </c>
      <c r="B65" s="10" t="s">
        <v>121</v>
      </c>
      <c r="C65" s="7">
        <v>0.29299999999999998</v>
      </c>
    </row>
    <row r="66" spans="1:3" x14ac:dyDescent="0.25">
      <c r="A66" s="3" t="s">
        <v>122</v>
      </c>
      <c r="B66" s="10" t="s">
        <v>123</v>
      </c>
      <c r="C66" s="7">
        <v>0.30399999999999999</v>
      </c>
    </row>
    <row r="67" spans="1:3" x14ac:dyDescent="0.25">
      <c r="A67" s="3" t="s">
        <v>124</v>
      </c>
      <c r="B67" s="10" t="s">
        <v>125</v>
      </c>
      <c r="C67" s="7">
        <v>0.254</v>
      </c>
    </row>
    <row r="68" spans="1:3" x14ac:dyDescent="0.25">
      <c r="A68" s="3" t="s">
        <v>126</v>
      </c>
      <c r="B68" s="10" t="s">
        <v>127</v>
      </c>
      <c r="C68" s="7">
        <v>0.30599999999999999</v>
      </c>
    </row>
    <row r="69" spans="1:3" x14ac:dyDescent="0.25">
      <c r="A69" s="3" t="s">
        <v>128</v>
      </c>
      <c r="B69" s="10" t="s">
        <v>129</v>
      </c>
      <c r="C69" s="7">
        <v>0.316</v>
      </c>
    </row>
    <row r="70" spans="1:3" x14ac:dyDescent="0.25">
      <c r="A70" s="3" t="s">
        <v>130</v>
      </c>
      <c r="B70" s="10" t="s">
        <v>131</v>
      </c>
      <c r="C70" s="7">
        <v>0.29799999999999999</v>
      </c>
    </row>
    <row r="71" spans="1:3" x14ac:dyDescent="0.25">
      <c r="A71" s="3" t="s">
        <v>132</v>
      </c>
      <c r="B71" s="10" t="s">
        <v>133</v>
      </c>
      <c r="C71" s="7">
        <v>0.33100000000000002</v>
      </c>
    </row>
    <row r="72" spans="1:3" x14ac:dyDescent="0.25">
      <c r="A72" s="3" t="s">
        <v>134</v>
      </c>
      <c r="B72" s="10" t="s">
        <v>135</v>
      </c>
      <c r="C72" s="7">
        <v>0.373</v>
      </c>
    </row>
    <row r="73" spans="1:3" x14ac:dyDescent="0.25">
      <c r="A73" s="3" t="s">
        <v>136</v>
      </c>
      <c r="B73" s="10" t="s">
        <v>137</v>
      </c>
      <c r="C73" s="7">
        <v>0.30099999999999999</v>
      </c>
    </row>
    <row r="74" spans="1:3" x14ac:dyDescent="0.25">
      <c r="A74" s="3" t="s">
        <v>138</v>
      </c>
      <c r="B74" s="10" t="s">
        <v>139</v>
      </c>
      <c r="C74" s="7">
        <v>0.308</v>
      </c>
    </row>
    <row r="75" spans="1:3" x14ac:dyDescent="0.25">
      <c r="A75" s="3" t="s">
        <v>140</v>
      </c>
      <c r="B75" s="10" t="s">
        <v>141</v>
      </c>
      <c r="C75" s="7">
        <v>0.29299999999999998</v>
      </c>
    </row>
    <row r="76" spans="1:3" x14ac:dyDescent="0.25">
      <c r="A76" s="3" t="s">
        <v>142</v>
      </c>
      <c r="B76" s="10" t="s">
        <v>143</v>
      </c>
      <c r="C76" s="7">
        <v>0.34699999999999998</v>
      </c>
    </row>
    <row r="77" spans="1:3" x14ac:dyDescent="0.25">
      <c r="A77" s="3" t="s">
        <v>144</v>
      </c>
      <c r="B77" s="10" t="s">
        <v>145</v>
      </c>
      <c r="C77" s="7">
        <v>0.33600000000000002</v>
      </c>
    </row>
    <row r="78" spans="1:3" x14ac:dyDescent="0.25">
      <c r="A78" s="3" t="s">
        <v>146</v>
      </c>
      <c r="B78" s="10" t="s">
        <v>147</v>
      </c>
      <c r="C78" s="7">
        <v>0.33100000000000002</v>
      </c>
    </row>
    <row r="79" spans="1:3" x14ac:dyDescent="0.25">
      <c r="A79" s="3" t="s">
        <v>148</v>
      </c>
      <c r="B79" s="10" t="s">
        <v>149</v>
      </c>
      <c r="C79" s="7">
        <v>-12.919</v>
      </c>
    </row>
    <row r="80" spans="1:3" x14ac:dyDescent="0.25">
      <c r="A80" s="3" t="s">
        <v>150</v>
      </c>
      <c r="B80" s="10" t="s">
        <v>151</v>
      </c>
      <c r="C80" s="7">
        <v>-9.5060000000000002</v>
      </c>
    </row>
    <row r="81" spans="1:3" x14ac:dyDescent="0.25">
      <c r="A81" s="3" t="s">
        <v>152</v>
      </c>
      <c r="B81" s="10" t="s">
        <v>153</v>
      </c>
      <c r="C81" s="7">
        <v>-9.6890000000000001</v>
      </c>
    </row>
    <row r="82" spans="1:3" x14ac:dyDescent="0.25">
      <c r="A82" s="3" t="s">
        <v>154</v>
      </c>
      <c r="B82" s="10" t="s">
        <v>155</v>
      </c>
      <c r="C82" s="7">
        <v>-7.54</v>
      </c>
    </row>
    <row r="83" spans="1:3" x14ac:dyDescent="0.25">
      <c r="A83" s="3" t="s">
        <v>156</v>
      </c>
      <c r="B83" s="10" t="s">
        <v>157</v>
      </c>
      <c r="C83" s="7">
        <v>-13.487</v>
      </c>
    </row>
    <row r="84" spans="1:3" x14ac:dyDescent="0.25">
      <c r="A84" s="3" t="s">
        <v>158</v>
      </c>
      <c r="B84" s="10" t="s">
        <v>159</v>
      </c>
      <c r="C84" s="7">
        <v>0.28299999999999997</v>
      </c>
    </row>
    <row r="85" spans="1:3" x14ac:dyDescent="0.25">
      <c r="A85" s="3" t="s">
        <v>160</v>
      </c>
      <c r="B85" s="10" t="s">
        <v>161</v>
      </c>
      <c r="C85" s="7">
        <v>0.32</v>
      </c>
    </row>
    <row r="86" spans="1:3" x14ac:dyDescent="0.25">
      <c r="A86" s="3" t="s">
        <v>162</v>
      </c>
      <c r="B86" s="10" t="s">
        <v>163</v>
      </c>
      <c r="C86" s="7">
        <v>0.28599999999999998</v>
      </c>
    </row>
    <row r="87" spans="1:3" x14ac:dyDescent="0.25">
      <c r="A87" s="3" t="s">
        <v>164</v>
      </c>
      <c r="B87" s="10" t="s">
        <v>165</v>
      </c>
      <c r="C87" s="7">
        <v>-15.696999999999999</v>
      </c>
    </row>
    <row r="88" spans="1:3" x14ac:dyDescent="0.25">
      <c r="A88" s="3" t="s">
        <v>166</v>
      </c>
      <c r="B88" s="10" t="s">
        <v>167</v>
      </c>
      <c r="C88" s="7">
        <v>-9.5269999999999992</v>
      </c>
    </row>
    <row r="89" spans="1:3" x14ac:dyDescent="0.25">
      <c r="A89" s="3" t="s">
        <v>168</v>
      </c>
      <c r="B89" s="10" t="s">
        <v>169</v>
      </c>
      <c r="C89" s="7">
        <v>-13.217000000000001</v>
      </c>
    </row>
    <row r="90" spans="1:3" x14ac:dyDescent="0.25">
      <c r="A90" s="3" t="s">
        <v>170</v>
      </c>
      <c r="B90" s="10" t="s">
        <v>171</v>
      </c>
      <c r="C90" s="7">
        <v>-12.891999999999999</v>
      </c>
    </row>
    <row r="91" spans="1:3" x14ac:dyDescent="0.25">
      <c r="A91" s="3" t="s">
        <v>172</v>
      </c>
      <c r="B91" s="10" t="s">
        <v>173</v>
      </c>
      <c r="C91" s="7">
        <v>-8.5579999999999998</v>
      </c>
    </row>
    <row r="92" spans="1:3" x14ac:dyDescent="0.25">
      <c r="A92" s="3" t="s">
        <v>174</v>
      </c>
      <c r="B92" s="10" t="s">
        <v>175</v>
      </c>
      <c r="C92" s="7">
        <v>-6.8390000000000004</v>
      </c>
    </row>
    <row r="93" spans="1:3" x14ac:dyDescent="0.25">
      <c r="A93" s="3" t="s">
        <v>176</v>
      </c>
      <c r="B93" s="10" t="s">
        <v>177</v>
      </c>
      <c r="C93" s="7">
        <v>-6.6079999999999997</v>
      </c>
    </row>
    <row r="94" spans="1:3" x14ac:dyDescent="0.25">
      <c r="A94" s="3" t="s">
        <v>178</v>
      </c>
      <c r="B94" s="10" t="s">
        <v>179</v>
      </c>
      <c r="C94" s="7">
        <v>-8.5399999999999991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Microplate End point</vt:lpstr>
      <vt:lpstr>Table 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Labuser</dc:creator>
  <cp:lastModifiedBy>Arthur Hehner</cp:lastModifiedBy>
  <dcterms:created xsi:type="dcterms:W3CDTF">2026-10-06T13:07:06Z</dcterms:created>
  <dcterms:modified xsi:type="dcterms:W3CDTF">2026-10-10T13:33:10Z</dcterms:modified>
</cp:coreProperties>
</file>