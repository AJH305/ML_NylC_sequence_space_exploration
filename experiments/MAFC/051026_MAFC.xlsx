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ff594459d09d97/Dokumente/Bachelorarbeit/ML_NylC/experiments/MAFC/"/>
    </mc:Choice>
  </mc:AlternateContent>
  <xr:revisionPtr revIDLastSave="26" documentId="13_ncr:1_{F2696BC9-F654-41B7-A3E4-7DB2B28ADFA0}" xr6:coauthVersionLast="47" xr6:coauthVersionMax="47" xr10:uidLastSave="{4A8411FC-FB93-4B4D-93C1-98C80CC4BADD}"/>
  <bookViews>
    <workbookView xWindow="-120" yWindow="-120" windowWidth="16440" windowHeight="28320" xr2:uid="{00000000-000D-0000-FFFF-FFFF00000000}"/>
  </bookViews>
  <sheets>
    <sheet name="Microplate End point" sheetId="2" r:id="rId1"/>
    <sheet name="Table End poi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2" l="1"/>
  <c r="D106" i="2"/>
  <c r="D60" i="2"/>
  <c r="C60" i="2"/>
  <c r="E60" i="2" s="1"/>
  <c r="C75" i="2"/>
  <c r="D75" i="2"/>
  <c r="E75" i="2"/>
  <c r="F75" i="2"/>
  <c r="G75" i="2"/>
  <c r="H75" i="2"/>
  <c r="I75" i="2"/>
  <c r="J75" i="2"/>
  <c r="K75" i="2"/>
  <c r="L75" i="2"/>
  <c r="M75" i="2"/>
  <c r="N75" i="2"/>
  <c r="C76" i="2"/>
  <c r="D76" i="2"/>
  <c r="E76" i="2"/>
  <c r="F76" i="2"/>
  <c r="G76" i="2"/>
  <c r="H76" i="2"/>
  <c r="I76" i="2"/>
  <c r="J76" i="2"/>
  <c r="K76" i="2"/>
  <c r="L76" i="2"/>
  <c r="M76" i="2"/>
  <c r="N76" i="2"/>
  <c r="C77" i="2"/>
  <c r="D77" i="2"/>
  <c r="E77" i="2"/>
  <c r="F77" i="2"/>
  <c r="G77" i="2"/>
  <c r="H77" i="2"/>
  <c r="I77" i="2"/>
  <c r="J77" i="2"/>
  <c r="K77" i="2"/>
  <c r="L77" i="2"/>
  <c r="M77" i="2"/>
  <c r="N77" i="2"/>
  <c r="C78" i="2"/>
  <c r="D78" i="2"/>
  <c r="E78" i="2"/>
  <c r="F78" i="2"/>
  <c r="G78" i="2"/>
  <c r="H78" i="2"/>
  <c r="I78" i="2"/>
  <c r="J78" i="2"/>
  <c r="K78" i="2"/>
  <c r="L78" i="2"/>
  <c r="M78" i="2"/>
  <c r="N78" i="2"/>
  <c r="C79" i="2"/>
  <c r="D79" i="2"/>
  <c r="E79" i="2"/>
  <c r="F79" i="2"/>
  <c r="G79" i="2"/>
  <c r="H79" i="2"/>
  <c r="I79" i="2"/>
  <c r="J79" i="2"/>
  <c r="K79" i="2"/>
  <c r="L79" i="2"/>
  <c r="M79" i="2"/>
  <c r="N79" i="2"/>
  <c r="C80" i="2"/>
  <c r="D80" i="2"/>
  <c r="E80" i="2"/>
  <c r="F80" i="2"/>
  <c r="G80" i="2"/>
  <c r="H80" i="2"/>
  <c r="I80" i="2"/>
  <c r="J80" i="2"/>
  <c r="K80" i="2"/>
  <c r="L80" i="2"/>
  <c r="M80" i="2"/>
  <c r="N80" i="2"/>
  <c r="D74" i="2"/>
  <c r="E74" i="2"/>
  <c r="F74" i="2"/>
  <c r="G74" i="2"/>
  <c r="H74" i="2"/>
  <c r="I74" i="2"/>
  <c r="J74" i="2"/>
  <c r="K74" i="2"/>
  <c r="L74" i="2"/>
  <c r="M74" i="2"/>
  <c r="N74" i="2"/>
  <c r="C74" i="2"/>
  <c r="D105" i="2"/>
  <c r="F105" i="2" s="1"/>
  <c r="D104" i="2"/>
  <c r="F104" i="2" s="1"/>
  <c r="D103" i="2"/>
  <c r="F103" i="2" s="1"/>
  <c r="P29" i="2"/>
  <c r="Q29" i="2"/>
  <c r="R29" i="2"/>
  <c r="S29" i="2"/>
  <c r="T29" i="2"/>
  <c r="U29" i="2"/>
  <c r="V29" i="2"/>
  <c r="W29" i="2"/>
  <c r="X29" i="2"/>
  <c r="Y29" i="2"/>
  <c r="Z29" i="2"/>
  <c r="AA29" i="2"/>
  <c r="P30" i="2"/>
  <c r="Q30" i="2"/>
  <c r="R30" i="2"/>
  <c r="S30" i="2"/>
  <c r="T30" i="2"/>
  <c r="U30" i="2"/>
  <c r="V30" i="2"/>
  <c r="W30" i="2"/>
  <c r="X30" i="2"/>
  <c r="Y30" i="2"/>
  <c r="Z30" i="2"/>
  <c r="AA30" i="2"/>
  <c r="P31" i="2"/>
  <c r="Q31" i="2"/>
  <c r="R31" i="2"/>
  <c r="S31" i="2"/>
  <c r="T31" i="2"/>
  <c r="U31" i="2"/>
  <c r="V31" i="2"/>
  <c r="W31" i="2"/>
  <c r="X31" i="2"/>
  <c r="Y31" i="2"/>
  <c r="Z31" i="2"/>
  <c r="AA31" i="2"/>
  <c r="P32" i="2"/>
  <c r="Q32" i="2"/>
  <c r="R32" i="2"/>
  <c r="S32" i="2"/>
  <c r="T32" i="2"/>
  <c r="U32" i="2"/>
  <c r="V32" i="2"/>
  <c r="W32" i="2"/>
  <c r="X32" i="2"/>
  <c r="Y32" i="2"/>
  <c r="Z32" i="2"/>
  <c r="AA32" i="2"/>
  <c r="P33" i="2"/>
  <c r="Q33" i="2"/>
  <c r="R33" i="2"/>
  <c r="S33" i="2"/>
  <c r="T33" i="2"/>
  <c r="U33" i="2"/>
  <c r="V33" i="2"/>
  <c r="W33" i="2"/>
  <c r="X33" i="2"/>
  <c r="Y33" i="2"/>
  <c r="Z33" i="2"/>
  <c r="AA33" i="2"/>
  <c r="P34" i="2"/>
  <c r="Q34" i="2"/>
  <c r="R34" i="2"/>
  <c r="S34" i="2"/>
  <c r="T34" i="2"/>
  <c r="U34" i="2"/>
  <c r="V34" i="2"/>
  <c r="W34" i="2"/>
  <c r="X34" i="2"/>
  <c r="Y34" i="2"/>
  <c r="Z34" i="2"/>
  <c r="AA34" i="2"/>
  <c r="Q28" i="2"/>
  <c r="R28" i="2"/>
  <c r="S28" i="2"/>
  <c r="T28" i="2"/>
  <c r="U28" i="2"/>
  <c r="V28" i="2"/>
  <c r="W28" i="2"/>
  <c r="X28" i="2"/>
  <c r="Y28" i="2"/>
  <c r="Z28" i="2"/>
  <c r="AA28" i="2"/>
  <c r="P28" i="2"/>
  <c r="B28" i="2"/>
  <c r="R54" i="2"/>
  <c r="R53" i="2"/>
  <c r="R51" i="2"/>
  <c r="R49" i="2"/>
  <c r="R45" i="2"/>
  <c r="Q45" i="2"/>
  <c r="S45" i="2" s="1"/>
  <c r="R44" i="2"/>
  <c r="Q44" i="2"/>
  <c r="S44" i="2" s="1"/>
  <c r="R43" i="2"/>
  <c r="Q43" i="2"/>
  <c r="S43" i="2" s="1"/>
  <c r="R42" i="2"/>
  <c r="R41" i="2"/>
  <c r="Q41" i="2"/>
  <c r="S41" i="2" s="1"/>
  <c r="R40" i="2"/>
  <c r="Q40" i="2"/>
  <c r="S40" i="2" s="1"/>
  <c r="R39" i="2"/>
  <c r="Q39" i="2"/>
  <c r="S39" i="2" s="1"/>
  <c r="R38" i="2"/>
  <c r="Q38" i="2"/>
  <c r="Q59" i="2"/>
  <c r="S59" i="2" s="1"/>
  <c r="Q58" i="2"/>
  <c r="S58" i="2" s="1"/>
  <c r="Q57" i="2"/>
  <c r="S57" i="2" s="1"/>
  <c r="Q54" i="2"/>
  <c r="S54" i="2" s="1"/>
  <c r="Q53" i="2"/>
  <c r="S53" i="2" s="1"/>
  <c r="Q51" i="2"/>
  <c r="S51" i="2" s="1"/>
  <c r="Q49" i="2"/>
  <c r="R46" i="2"/>
  <c r="Q46" i="2"/>
  <c r="S46" i="2" s="1"/>
  <c r="Q42" i="2"/>
  <c r="S42" i="2" s="1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1" i="2"/>
  <c r="E39" i="2"/>
  <c r="D61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57" i="2"/>
  <c r="D58" i="2"/>
  <c r="D59" i="2"/>
  <c r="C53" i="2"/>
  <c r="C61" i="2"/>
  <c r="C58" i="2"/>
  <c r="C59" i="2"/>
  <c r="C57" i="2"/>
  <c r="C56" i="2"/>
  <c r="C50" i="2"/>
  <c r="C45" i="2"/>
  <c r="C42" i="2"/>
  <c r="C55" i="2"/>
  <c r="B32" i="2"/>
  <c r="C54" i="2"/>
  <c r="C52" i="2"/>
  <c r="C51" i="2"/>
  <c r="C49" i="2"/>
  <c r="C48" i="2"/>
  <c r="C47" i="2"/>
  <c r="C46" i="2"/>
  <c r="C44" i="2"/>
  <c r="C43" i="2"/>
  <c r="C41" i="2"/>
  <c r="C40" i="2"/>
  <c r="C39" i="2"/>
  <c r="H28" i="2"/>
  <c r="I28" i="2"/>
  <c r="J28" i="2"/>
  <c r="K28" i="2"/>
  <c r="L28" i="2"/>
  <c r="M28" i="2"/>
  <c r="E28" i="2"/>
  <c r="B29" i="2"/>
  <c r="C29" i="2"/>
  <c r="D29" i="2"/>
  <c r="E29" i="2"/>
  <c r="F29" i="2"/>
  <c r="G29" i="2"/>
  <c r="H29" i="2"/>
  <c r="I29" i="2"/>
  <c r="J29" i="2"/>
  <c r="K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C32" i="2"/>
  <c r="D32" i="2"/>
  <c r="E32" i="2"/>
  <c r="F32" i="2"/>
  <c r="G32" i="2"/>
  <c r="J32" i="2"/>
  <c r="M32" i="2"/>
  <c r="D33" i="2"/>
  <c r="G33" i="2"/>
  <c r="I33" i="2"/>
  <c r="J33" i="2"/>
  <c r="L33" i="2"/>
  <c r="M33" i="2"/>
  <c r="B34" i="2"/>
  <c r="C34" i="2"/>
  <c r="D34" i="2"/>
  <c r="E34" i="2"/>
  <c r="F34" i="2"/>
  <c r="G34" i="2"/>
  <c r="H34" i="2"/>
  <c r="I34" i="2"/>
  <c r="J34" i="2"/>
  <c r="K34" i="2"/>
  <c r="L34" i="2"/>
  <c r="M34" i="2"/>
  <c r="C28" i="2"/>
  <c r="D28" i="2"/>
  <c r="F28" i="2"/>
  <c r="G28" i="2"/>
  <c r="C24" i="2"/>
  <c r="E107" i="2" l="1"/>
  <c r="D107" i="2"/>
  <c r="F107" i="2" s="1"/>
  <c r="E106" i="2"/>
  <c r="F106" i="2"/>
  <c r="D102" i="2"/>
  <c r="F102" i="2" s="1"/>
  <c r="E102" i="2"/>
  <c r="D101" i="2"/>
  <c r="F101" i="2" s="1"/>
  <c r="E101" i="2"/>
  <c r="E100" i="2"/>
  <c r="D100" i="2"/>
  <c r="F100" i="2" s="1"/>
  <c r="D99" i="2"/>
  <c r="F99" i="2" s="1"/>
  <c r="E99" i="2"/>
  <c r="D98" i="2"/>
  <c r="F98" i="2" s="1"/>
  <c r="E98" i="2"/>
  <c r="E97" i="2"/>
  <c r="D97" i="2"/>
  <c r="F97" i="2" s="1"/>
  <c r="E96" i="2"/>
  <c r="D96" i="2"/>
  <c r="F96" i="2" s="1"/>
  <c r="D95" i="2"/>
  <c r="E95" i="2"/>
  <c r="E94" i="2"/>
  <c r="D94" i="2"/>
  <c r="E93" i="2"/>
  <c r="D93" i="2"/>
  <c r="E92" i="2"/>
  <c r="D92" i="2"/>
  <c r="F92" i="2" s="1"/>
  <c r="D91" i="2"/>
  <c r="F91" i="2" s="1"/>
  <c r="E91" i="2"/>
  <c r="E90" i="2"/>
  <c r="D90" i="2"/>
  <c r="F90" i="2" s="1"/>
  <c r="D89" i="2"/>
  <c r="F89" i="2" s="1"/>
  <c r="E89" i="2"/>
  <c r="D88" i="2"/>
  <c r="F88" i="2" s="1"/>
  <c r="E88" i="2"/>
  <c r="E87" i="2"/>
  <c r="D87" i="2"/>
  <c r="F87" i="2" s="1"/>
  <c r="D86" i="2"/>
  <c r="F86" i="2" s="1"/>
  <c r="E86" i="2"/>
  <c r="E85" i="2"/>
  <c r="D85" i="2"/>
  <c r="F85" i="2" s="1"/>
  <c r="E84" i="2"/>
  <c r="D84" i="2"/>
  <c r="D38" i="2"/>
  <c r="C38" i="2"/>
  <c r="C64" i="2" s="1"/>
  <c r="R61" i="2"/>
  <c r="Q61" i="2"/>
  <c r="S61" i="2" s="1"/>
  <c r="R60" i="2"/>
  <c r="S60" i="2"/>
  <c r="Q56" i="2"/>
  <c r="S56" i="2" s="1"/>
  <c r="R56" i="2"/>
  <c r="Q55" i="2"/>
  <c r="S55" i="2" s="1"/>
  <c r="R55" i="2"/>
  <c r="R52" i="2"/>
  <c r="Q52" i="2"/>
  <c r="S52" i="2" s="1"/>
  <c r="R50" i="2"/>
  <c r="Q50" i="2"/>
  <c r="S50" i="2" s="1"/>
  <c r="S49" i="2"/>
  <c r="R59" i="2"/>
  <c r="R48" i="2"/>
  <c r="Q48" i="2"/>
  <c r="Q64" i="2" s="1"/>
  <c r="Q47" i="2"/>
  <c r="R47" i="2"/>
  <c r="D110" i="2" l="1"/>
  <c r="F95" i="2"/>
  <c r="E105" i="2"/>
  <c r="F94" i="2"/>
  <c r="E104" i="2"/>
  <c r="F93" i="2"/>
  <c r="E103" i="2"/>
  <c r="R58" i="2"/>
  <c r="S48" i="2"/>
  <c r="S47" i="2"/>
  <c r="R57" i="2"/>
</calcChain>
</file>

<file path=xl/sharedStrings.xml><?xml version="1.0" encoding="utf-8"?>
<sst xmlns="http://schemas.openxmlformats.org/spreadsheetml/2006/main" count="308" uniqueCount="222">
  <si>
    <t>User: HendrikPütz</t>
  </si>
  <si>
    <t>Path: C:\Program Files (x86)\BMG\CLARIOstar\HendrikPütz\Data</t>
  </si>
  <si>
    <t>Test ID: 5</t>
  </si>
  <si>
    <t>Test Name: MAFC</t>
  </si>
  <si>
    <t>Date: 10/5/2026</t>
  </si>
  <si>
    <t>Time: 6:23:25 PM</t>
  </si>
  <si>
    <t>Absorbance</t>
  </si>
  <si>
    <t>Absorbance values are displayed as OD</t>
  </si>
  <si>
    <t>Absorbance values are pathlength corrected based on waterpeak!</t>
  </si>
  <si>
    <t>Well</t>
  </si>
  <si>
    <t>Content</t>
  </si>
  <si>
    <t>Raw Data (494)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</si>
  <si>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</si>
  <si>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</si>
  <si>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</si>
  <si>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</si>
  <si>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</si>
  <si>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</si>
  <si>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</si>
  <si>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</si>
  <si>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</si>
  <si>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</si>
  <si>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</si>
  <si>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</si>
  <si>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</si>
  <si>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</si>
  <si>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</si>
  <si>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</si>
  <si>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</si>
  <si>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</si>
  <si>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</si>
  <si>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</si>
  <si>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</si>
  <si>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</si>
  <si>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</si>
  <si>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</si>
  <si>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B01</t>
  </si>
  <si>
    <t>Sample X13</t>
  </si>
  <si>
    <t>B02</t>
  </si>
  <si>
    <t>Sample X14</t>
  </si>
  <si>
    <t>B03</t>
  </si>
  <si>
    <t>Sample X15</t>
  </si>
  <si>
    <t>B04</t>
  </si>
  <si>
    <t>Sample X16</t>
  </si>
  <si>
    <t>B05</t>
  </si>
  <si>
    <t>Sample X17</t>
  </si>
  <si>
    <t>B06</t>
  </si>
  <si>
    <t>Sample X18</t>
  </si>
  <si>
    <t>B07</t>
  </si>
  <si>
    <t>Sample X19</t>
  </si>
  <si>
    <t>B08</t>
  </si>
  <si>
    <t>Sample X20</t>
  </si>
  <si>
    <t>B09</t>
  </si>
  <si>
    <t>Sample X21</t>
  </si>
  <si>
    <t>B10</t>
  </si>
  <si>
    <t>Sample X22</t>
  </si>
  <si>
    <t>B11</t>
  </si>
  <si>
    <t>Sample X23</t>
  </si>
  <si>
    <t>B12</t>
  </si>
  <si>
    <t>Sample X24</t>
  </si>
  <si>
    <t>C01</t>
  </si>
  <si>
    <t>Sample X25</t>
  </si>
  <si>
    <t>C02</t>
  </si>
  <si>
    <t>Sample X26</t>
  </si>
  <si>
    <t>C03</t>
  </si>
  <si>
    <t>Sample X27</t>
  </si>
  <si>
    <t>C04</t>
  </si>
  <si>
    <t>Sample X28</t>
  </si>
  <si>
    <t>C05</t>
  </si>
  <si>
    <t>Sample X29</t>
  </si>
  <si>
    <t>C06</t>
  </si>
  <si>
    <t>Sample X30</t>
  </si>
  <si>
    <t>C07</t>
  </si>
  <si>
    <t>Sample X31</t>
  </si>
  <si>
    <t>C08</t>
  </si>
  <si>
    <t>Sample X32</t>
  </si>
  <si>
    <t>C09</t>
  </si>
  <si>
    <t>Sample X33</t>
  </si>
  <si>
    <t>C10</t>
  </si>
  <si>
    <t>Sample X34</t>
  </si>
  <si>
    <t>C11</t>
  </si>
  <si>
    <t>Sample X35</t>
  </si>
  <si>
    <t>C12</t>
  </si>
  <si>
    <t>Sample X36</t>
  </si>
  <si>
    <t>D01</t>
  </si>
  <si>
    <t>Sample X37</t>
  </si>
  <si>
    <t>D02</t>
  </si>
  <si>
    <t>Sample X38</t>
  </si>
  <si>
    <t>D03</t>
  </si>
  <si>
    <t>Sample X39</t>
  </si>
  <si>
    <t>D04</t>
  </si>
  <si>
    <t>Sample X40</t>
  </si>
  <si>
    <t>D05</t>
  </si>
  <si>
    <t>Sample X41</t>
  </si>
  <si>
    <t>D06</t>
  </si>
  <si>
    <t>Sample X42</t>
  </si>
  <si>
    <t>D07</t>
  </si>
  <si>
    <t>Sample X43</t>
  </si>
  <si>
    <t>D08</t>
  </si>
  <si>
    <t>Sample X44</t>
  </si>
  <si>
    <t>D09</t>
  </si>
  <si>
    <t>Sample X45</t>
  </si>
  <si>
    <t>D10</t>
  </si>
  <si>
    <t>Sample X46</t>
  </si>
  <si>
    <t>D11</t>
  </si>
  <si>
    <t>Sample X47</t>
  </si>
  <si>
    <t>D12</t>
  </si>
  <si>
    <t>Sample X48</t>
  </si>
  <si>
    <t>E01</t>
  </si>
  <si>
    <t>Sample X49</t>
  </si>
  <si>
    <t>E02</t>
  </si>
  <si>
    <t>Sample X50</t>
  </si>
  <si>
    <t>E03</t>
  </si>
  <si>
    <t>Sample X51</t>
  </si>
  <si>
    <t>overflow</t>
  </si>
  <si>
    <t>E04</t>
  </si>
  <si>
    <t>Sample X52</t>
  </si>
  <si>
    <t>E05</t>
  </si>
  <si>
    <t>Sample X53</t>
  </si>
  <si>
    <t>E06</t>
  </si>
  <si>
    <t>Sample X54</t>
  </si>
  <si>
    <t>E07</t>
  </si>
  <si>
    <t>Sample X55</t>
  </si>
  <si>
    <t>E08</t>
  </si>
  <si>
    <t>Sample X56</t>
  </si>
  <si>
    <t>E09</t>
  </si>
  <si>
    <t>Sample X57</t>
  </si>
  <si>
    <t>E10</t>
  </si>
  <si>
    <t>Sample X58</t>
  </si>
  <si>
    <t>E11</t>
  </si>
  <si>
    <t>Sample X59</t>
  </si>
  <si>
    <t>E12</t>
  </si>
  <si>
    <t>Sample X60</t>
  </si>
  <si>
    <t>F01</t>
  </si>
  <si>
    <t>Sample X61</t>
  </si>
  <si>
    <t>F02</t>
  </si>
  <si>
    <t>Sample X62</t>
  </si>
  <si>
    <t>F03</t>
  </si>
  <si>
    <t>Sample X63</t>
  </si>
  <si>
    <t>F04</t>
  </si>
  <si>
    <t>Sample X64</t>
  </si>
  <si>
    <t>F05</t>
  </si>
  <si>
    <t>Sample X65</t>
  </si>
  <si>
    <t>F06</t>
  </si>
  <si>
    <t>Sample X66</t>
  </si>
  <si>
    <t>F07</t>
  </si>
  <si>
    <t>Sample X67</t>
  </si>
  <si>
    <t>F08</t>
  </si>
  <si>
    <t>Sample X68</t>
  </si>
  <si>
    <t>F09</t>
  </si>
  <si>
    <t>Sample X69</t>
  </si>
  <si>
    <t>F10</t>
  </si>
  <si>
    <t>Sample X70</t>
  </si>
  <si>
    <t>F11</t>
  </si>
  <si>
    <t>Sample X71</t>
  </si>
  <si>
    <t>F12</t>
  </si>
  <si>
    <t>Sample X72</t>
  </si>
  <si>
    <t>G01</t>
  </si>
  <si>
    <t>Sample X73</t>
  </si>
  <si>
    <t>G02</t>
  </si>
  <si>
    <t>Sample X74</t>
  </si>
  <si>
    <t>G03</t>
  </si>
  <si>
    <t>Sample X75</t>
  </si>
  <si>
    <t>G04</t>
  </si>
  <si>
    <t>Sample X76</t>
  </si>
  <si>
    <t>G05</t>
  </si>
  <si>
    <t>Sample X77</t>
  </si>
  <si>
    <t>G06</t>
  </si>
  <si>
    <t>Sample X78</t>
  </si>
  <si>
    <t>G07</t>
  </si>
  <si>
    <t>Sample X79</t>
  </si>
  <si>
    <t>G08</t>
  </si>
  <si>
    <t>Sample X80</t>
  </si>
  <si>
    <t>G09</t>
  </si>
  <si>
    <t>Sample X81</t>
  </si>
  <si>
    <t>G10</t>
  </si>
  <si>
    <t>Sample X82</t>
  </si>
  <si>
    <t>G11</t>
  </si>
  <si>
    <t>Sample X83</t>
  </si>
  <si>
    <t>G12</t>
  </si>
  <si>
    <t>Sample X84</t>
  </si>
  <si>
    <t>A</t>
  </si>
  <si>
    <t>B</t>
  </si>
  <si>
    <t>C</t>
  </si>
  <si>
    <t>D</t>
  </si>
  <si>
    <t>E</t>
  </si>
  <si>
    <t>F</t>
  </si>
  <si>
    <t>G</t>
  </si>
  <si>
    <t>H</t>
  </si>
  <si>
    <t>blank</t>
  </si>
  <si>
    <t>reaction time</t>
  </si>
  <si>
    <t>enzyme mass</t>
  </si>
  <si>
    <t xml:space="preserve">6-AHA Calibration curve slope = </t>
  </si>
  <si>
    <t>HP</t>
  </si>
  <si>
    <t>TS</t>
  </si>
  <si>
    <t>DPLS</t>
  </si>
  <si>
    <t>TLLG</t>
  </si>
  <si>
    <t>GPLA</t>
  </si>
  <si>
    <t>DVLS</t>
  </si>
  <si>
    <t>DILS</t>
  </si>
  <si>
    <t>SALS</t>
  </si>
  <si>
    <t>SPLS</t>
  </si>
  <si>
    <t>TYLG</t>
  </si>
  <si>
    <t>NYLG</t>
  </si>
  <si>
    <t>TALG</t>
  </si>
  <si>
    <t>NPLS</t>
  </si>
  <si>
    <t>NPLG</t>
  </si>
  <si>
    <t>SPLA</t>
  </si>
  <si>
    <t>NILS</t>
  </si>
  <si>
    <t>DALG</t>
  </si>
  <si>
    <t>TPLG</t>
  </si>
  <si>
    <t>EFLS</t>
  </si>
  <si>
    <t>SFLS</t>
  </si>
  <si>
    <t>EPLG</t>
  </si>
  <si>
    <t>NALS</t>
  </si>
  <si>
    <t>DALS</t>
  </si>
  <si>
    <t>EPLS</t>
  </si>
  <si>
    <t>average</t>
  </si>
  <si>
    <t>SEM</t>
  </si>
  <si>
    <t>mM Amid</t>
  </si>
  <si>
    <t>OD</t>
  </si>
  <si>
    <t>average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</si>
</sst>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3" xfId="0" applyFont="1" applyBorder="1" applyAlignment="1">
      <alignment horizont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164" fontId="2" fillId="0" borderId="5" xfId="0" applyNumberFormat="1" applyFont="1" applyBorder="1"/>
    <xf numFmtId="0" fontId="0" fillId="2" borderId="10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110"/>
  <sheetViews>
    <sheetView tabSelected="1" topLeftCell="L22" workbookViewId="0">
      <selection activeCell="Q61" sqref="Q61"/>
    </sheetView>
  </sheetViews>
  <sheetFormatPr baseColWidth="10" defaultColWidth="8.85546875"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  <c r="D9" t="s">
        <v>7</v>
      </c>
      <c r="H9" t="s">
        <v>8</v>
      </c>
    </row>
    <row r="13" spans="1:13" x14ac:dyDescent="0.25">
      <c r="B13" t="s">
        <v>11</v>
      </c>
    </row>
    <row r="14" spans="1:13" x14ac:dyDescent="0.25">
      <c r="B14" s="11">
        <v>1</v>
      </c>
      <c r="C14" s="11">
        <v>2</v>
      </c>
      <c r="D14" s="11">
        <v>3</v>
      </c>
      <c r="E14" s="11">
        <v>4</v>
      </c>
      <c r="F14" s="11">
        <v>5</v>
      </c>
      <c r="G14" s="11">
        <v>6</v>
      </c>
      <c r="H14" s="11">
        <v>7</v>
      </c>
      <c r="I14" s="11">
        <v>8</v>
      </c>
      <c r="J14" s="11">
        <v>9</v>
      </c>
      <c r="K14" s="11">
        <v>10</v>
      </c>
      <c r="L14" s="11">
        <v>11</v>
      </c>
      <c r="M14" s="11">
        <v>12</v>
      </c>
    </row>
    <row r="15" spans="1:13" x14ac:dyDescent="0.25">
      <c r="A15" s="11" t="s">
        <v>181</v>
      </c>
      <c r="B15" s="12">
        <v>0.316</v>
      </c>
      <c r="C15" s="13">
        <v>0.29499999999999998</v>
      </c>
      <c r="D15" s="13">
        <v>-6.2560000000000002</v>
      </c>
      <c r="E15" s="13">
        <v>0.373</v>
      </c>
      <c r="F15" s="13">
        <v>0.33900000000000002</v>
      </c>
      <c r="G15" s="13">
        <v>-5.2539999999999996</v>
      </c>
      <c r="H15" s="13">
        <v>0.26300000000000001</v>
      </c>
      <c r="I15" s="13">
        <v>0.33900000000000002</v>
      </c>
      <c r="J15" s="13">
        <v>0.35799999999999998</v>
      </c>
      <c r="K15" s="13">
        <v>0.30499999999999999</v>
      </c>
      <c r="L15" s="13">
        <v>0.28999999999999998</v>
      </c>
      <c r="M15" s="14">
        <v>0.28499999999999998</v>
      </c>
    </row>
    <row r="16" spans="1:13" x14ac:dyDescent="0.25">
      <c r="A16" s="11" t="s">
        <v>182</v>
      </c>
      <c r="B16" s="4">
        <v>0.59899999999999998</v>
      </c>
      <c r="C16" s="7">
        <v>0.71499999999999997</v>
      </c>
      <c r="D16" s="7">
        <v>0.7</v>
      </c>
      <c r="E16" s="7">
        <v>0.58299999999999996</v>
      </c>
      <c r="F16" s="7">
        <v>0.52700000000000002</v>
      </c>
      <c r="G16" s="7">
        <v>0.54100000000000004</v>
      </c>
      <c r="H16" s="7">
        <v>0.434</v>
      </c>
      <c r="I16" s="7">
        <v>0.35199999999999998</v>
      </c>
      <c r="J16" s="7">
        <v>0.39200000000000002</v>
      </c>
      <c r="K16" s="7">
        <v>0.3</v>
      </c>
      <c r="L16" s="7">
        <v>0.28100000000000003</v>
      </c>
      <c r="M16" s="3">
        <v>0.30299999999999999</v>
      </c>
    </row>
    <row r="17" spans="1:27" x14ac:dyDescent="0.25">
      <c r="A17" s="11" t="s">
        <v>183</v>
      </c>
      <c r="B17" s="4">
        <v>0.499</v>
      </c>
      <c r="C17" s="7">
        <v>0.46600000000000003</v>
      </c>
      <c r="D17" s="7">
        <v>0.42</v>
      </c>
      <c r="E17" s="7">
        <v>0.54400000000000004</v>
      </c>
      <c r="F17" s="7">
        <v>0.626</v>
      </c>
      <c r="G17" s="7">
        <v>0.749</v>
      </c>
      <c r="H17" s="7">
        <v>0.76</v>
      </c>
      <c r="I17" s="7">
        <v>0.80900000000000005</v>
      </c>
      <c r="J17" s="7">
        <v>0.92300000000000004</v>
      </c>
      <c r="K17" s="7">
        <v>0.92300000000000004</v>
      </c>
      <c r="L17" s="7">
        <v>0.93700000000000006</v>
      </c>
      <c r="M17" s="3">
        <v>0.80500000000000005</v>
      </c>
    </row>
    <row r="18" spans="1:27" x14ac:dyDescent="0.25">
      <c r="A18" s="11" t="s">
        <v>184</v>
      </c>
      <c r="B18" s="4">
        <v>0.64200000000000002</v>
      </c>
      <c r="C18" s="7">
        <v>0.79400000000000004</v>
      </c>
      <c r="D18" s="7">
        <v>0.81399999999999995</v>
      </c>
      <c r="E18" s="7">
        <v>0.78900000000000003</v>
      </c>
      <c r="F18" s="7">
        <v>0.76700000000000002</v>
      </c>
      <c r="G18" s="7">
        <v>0.75800000000000001</v>
      </c>
      <c r="H18" s="7">
        <v>0.67600000000000005</v>
      </c>
      <c r="I18" s="7">
        <v>0.63900000000000001</v>
      </c>
      <c r="J18" s="7">
        <v>0.63300000000000001</v>
      </c>
      <c r="K18" s="7">
        <v>0.54700000000000004</v>
      </c>
      <c r="L18" s="7">
        <v>0.52400000000000002</v>
      </c>
      <c r="M18" s="3">
        <v>0.58799999999999997</v>
      </c>
    </row>
    <row r="19" spans="1:27" x14ac:dyDescent="0.25">
      <c r="A19" s="11" t="s">
        <v>185</v>
      </c>
      <c r="B19" s="4">
        <v>0.45800000000000002</v>
      </c>
      <c r="C19" s="7">
        <v>0.377</v>
      </c>
      <c r="D19" s="7" t="s">
        <v>114</v>
      </c>
      <c r="E19" s="7">
        <v>0.33900000000000002</v>
      </c>
      <c r="F19" s="7">
        <v>0.28799999999999998</v>
      </c>
      <c r="G19" s="7">
        <v>0.29299999999999998</v>
      </c>
      <c r="H19" s="7">
        <v>0.27</v>
      </c>
      <c r="I19" s="7">
        <v>0.27300000000000002</v>
      </c>
      <c r="J19" s="7">
        <v>0.29899999999999999</v>
      </c>
      <c r="K19" s="7">
        <v>0.27</v>
      </c>
      <c r="L19" s="7">
        <v>0.26</v>
      </c>
      <c r="M19" s="3">
        <v>0.28699999999999998</v>
      </c>
    </row>
    <row r="20" spans="1:27" x14ac:dyDescent="0.25">
      <c r="A20" s="11" t="s">
        <v>186</v>
      </c>
      <c r="B20" s="4">
        <v>0.27500000000000002</v>
      </c>
      <c r="C20" s="7">
        <v>0.28000000000000003</v>
      </c>
      <c r="D20" s="7">
        <v>0.28799999999999998</v>
      </c>
      <c r="E20" s="7">
        <v>0.26500000000000001</v>
      </c>
      <c r="F20" s="7">
        <v>0.25800000000000001</v>
      </c>
      <c r="G20" s="7">
        <v>0.29199999999999998</v>
      </c>
      <c r="H20" s="7">
        <v>0.27500000000000002</v>
      </c>
      <c r="I20" s="7">
        <v>0.28199999999999997</v>
      </c>
      <c r="J20" s="7">
        <v>0.30499999999999999</v>
      </c>
      <c r="K20" s="7">
        <v>0.27700000000000002</v>
      </c>
      <c r="L20" s="7">
        <v>0.28899999999999998</v>
      </c>
      <c r="M20" s="3">
        <v>0.3</v>
      </c>
    </row>
    <row r="21" spans="1:27" x14ac:dyDescent="0.25">
      <c r="A21" s="11" t="s">
        <v>187</v>
      </c>
      <c r="B21" s="4">
        <v>-7.3940000000000001</v>
      </c>
      <c r="C21" s="7">
        <v>0.26700000000000002</v>
      </c>
      <c r="D21" s="7">
        <v>0.29599999999999999</v>
      </c>
      <c r="E21" s="7">
        <v>0.28299999999999997</v>
      </c>
      <c r="F21" s="7">
        <v>-5.4089999999999998</v>
      </c>
      <c r="G21" s="7">
        <v>-5.4210000000000003</v>
      </c>
      <c r="H21" s="7">
        <v>-3.9340000000000002</v>
      </c>
      <c r="I21" s="7">
        <v>-4.1260000000000003</v>
      </c>
      <c r="J21" s="7">
        <v>-5.7869999999999999</v>
      </c>
      <c r="K21" s="7">
        <v>-5.8869999999999996</v>
      </c>
      <c r="L21" s="7">
        <v>-6.27</v>
      </c>
      <c r="M21" s="3">
        <v>-4.7119999999999997</v>
      </c>
    </row>
    <row r="22" spans="1:27" x14ac:dyDescent="0.25">
      <c r="A22" s="11" t="s">
        <v>188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</row>
    <row r="23" spans="1:27" ht="15.75" thickBot="1" x14ac:dyDescent="0.3"/>
    <row r="24" spans="1:27" x14ac:dyDescent="0.25">
      <c r="B24" t="s">
        <v>189</v>
      </c>
      <c r="C24">
        <f>AVERAGE(C21,D21,E21)</f>
        <v>0.28199999999999997</v>
      </c>
      <c r="E24" t="s">
        <v>190</v>
      </c>
      <c r="F24" s="7">
        <v>2</v>
      </c>
      <c r="G24" t="s">
        <v>191</v>
      </c>
      <c r="H24">
        <v>0.94762500000000005</v>
      </c>
      <c r="J24" t="s">
        <v>192</v>
      </c>
      <c r="K24" s="18">
        <v>1.5699999999999999E-4</v>
      </c>
    </row>
    <row r="25" spans="1:27" x14ac:dyDescent="0.25">
      <c r="P25" t="s">
        <v>219</v>
      </c>
    </row>
    <row r="27" spans="1:27" x14ac:dyDescent="0.25">
      <c r="B27" s="11">
        <v>1</v>
      </c>
      <c r="C27" s="11">
        <v>2</v>
      </c>
      <c r="D27" s="11">
        <v>3</v>
      </c>
      <c r="E27" s="11">
        <v>4</v>
      </c>
      <c r="F27" s="11">
        <v>5</v>
      </c>
      <c r="G27" s="11">
        <v>6</v>
      </c>
      <c r="H27" s="11">
        <v>7</v>
      </c>
      <c r="I27" s="11">
        <v>8</v>
      </c>
      <c r="J27" s="11">
        <v>9</v>
      </c>
      <c r="K27" s="11">
        <v>10</v>
      </c>
      <c r="L27" s="11">
        <v>11</v>
      </c>
      <c r="M27" s="11">
        <v>12</v>
      </c>
      <c r="P27" s="11">
        <v>1</v>
      </c>
      <c r="Q27" s="11">
        <v>2</v>
      </c>
      <c r="R27" s="11">
        <v>3</v>
      </c>
      <c r="S27" s="11">
        <v>4</v>
      </c>
      <c r="T27" s="11">
        <v>5</v>
      </c>
      <c r="U27" s="11">
        <v>6</v>
      </c>
      <c r="V27" s="11">
        <v>7</v>
      </c>
      <c r="W27" s="11">
        <v>8</v>
      </c>
      <c r="X27" s="11">
        <v>9</v>
      </c>
      <c r="Y27" s="11">
        <v>10</v>
      </c>
      <c r="Z27" s="11">
        <v>11</v>
      </c>
      <c r="AA27" s="11">
        <v>12</v>
      </c>
    </row>
    <row r="28" spans="1:27" x14ac:dyDescent="0.25">
      <c r="A28" s="11" t="s">
        <v>181</v>
      </c>
      <c r="B28" s="19">
        <f>((B15-$C$24)/$K$24)/$F$24/($H$24*2)</f>
        <v>57.132438874591827</v>
      </c>
      <c r="C28" s="19">
        <f t="shared" ref="C28:M28" si="0">((C15-$C$24)/$K$24)/$F$24/$H$24</f>
        <v>43.689512080570218</v>
      </c>
      <c r="D28" s="19">
        <f t="shared" si="0"/>
        <v>-21972.463844828297</v>
      </c>
      <c r="E28" s="20">
        <f>((E15-$C$24)/$K$24)/$F$24/($H$24*2)</f>
        <v>152.91329228199569</v>
      </c>
      <c r="F28" s="20">
        <f t="shared" si="0"/>
        <v>191.56170681480791</v>
      </c>
      <c r="G28" s="20">
        <f t="shared" si="0"/>
        <v>-18605.010682925888</v>
      </c>
      <c r="H28" s="12">
        <f t="shared" si="0"/>
        <v>-63.853902271602443</v>
      </c>
      <c r="I28" s="12">
        <f t="shared" si="0"/>
        <v>191.56170681480791</v>
      </c>
      <c r="J28" s="12">
        <f t="shared" si="0"/>
        <v>255.41560908641031</v>
      </c>
      <c r="K28" s="12">
        <f t="shared" si="0"/>
        <v>77.296829065624223</v>
      </c>
      <c r="L28" s="12">
        <f t="shared" si="0"/>
        <v>26.885853588043211</v>
      </c>
      <c r="M28" s="12">
        <f t="shared" si="0"/>
        <v>10.082195095516205</v>
      </c>
      <c r="O28" s="11" t="s">
        <v>181</v>
      </c>
      <c r="P28" s="19">
        <f>((B15-$C$24)/$K$24)</f>
        <v>216.56050955414034</v>
      </c>
      <c r="Q28" s="19">
        <f t="shared" ref="Q28:AA28" si="1">((C15-$C$24)/$K$24)</f>
        <v>82.802547770700713</v>
      </c>
      <c r="R28" s="19">
        <f t="shared" si="1"/>
        <v>-41643.312101910829</v>
      </c>
      <c r="S28" s="19">
        <f t="shared" si="1"/>
        <v>579.61783439490466</v>
      </c>
      <c r="T28" s="19">
        <f t="shared" si="1"/>
        <v>363.05732484076469</v>
      </c>
      <c r="U28" s="19">
        <f t="shared" si="1"/>
        <v>-35261.146496815287</v>
      </c>
      <c r="V28" s="19">
        <f t="shared" si="1"/>
        <v>-121.01910828025454</v>
      </c>
      <c r="W28" s="19">
        <f t="shared" si="1"/>
        <v>363.05732484076469</v>
      </c>
      <c r="X28" s="19">
        <f t="shared" si="1"/>
        <v>484.07643312101919</v>
      </c>
      <c r="Y28" s="19">
        <f t="shared" si="1"/>
        <v>146.49681528662433</v>
      </c>
      <c r="Z28" s="19">
        <f t="shared" si="1"/>
        <v>50.955414012738899</v>
      </c>
      <c r="AA28" s="19">
        <f t="shared" si="1"/>
        <v>19.108280254777089</v>
      </c>
    </row>
    <row r="29" spans="1:27" x14ac:dyDescent="0.25">
      <c r="A29" s="11" t="s">
        <v>182</v>
      </c>
      <c r="B29" s="12">
        <f t="shared" ref="B29:M29" si="2">((B16-$C$24)/$K$24)/$F$24/$H$24</f>
        <v>1065.3519484262113</v>
      </c>
      <c r="C29" s="12">
        <f t="shared" si="2"/>
        <v>1455.1968254528374</v>
      </c>
      <c r="D29" s="12">
        <f t="shared" si="2"/>
        <v>1404.7858499752565</v>
      </c>
      <c r="E29" s="12">
        <f t="shared" si="2"/>
        <v>1011.5802412501249</v>
      </c>
      <c r="F29" s="12">
        <f t="shared" si="2"/>
        <v>823.37926613382285</v>
      </c>
      <c r="G29" s="12">
        <f t="shared" si="2"/>
        <v>870.42950991289842</v>
      </c>
      <c r="H29" s="12">
        <f t="shared" si="2"/>
        <v>510.83121817282063</v>
      </c>
      <c r="I29" s="12">
        <f t="shared" si="2"/>
        <v>235.25121889537795</v>
      </c>
      <c r="J29" s="12">
        <f t="shared" si="2"/>
        <v>369.68048683559397</v>
      </c>
      <c r="K29" s="12">
        <f t="shared" si="2"/>
        <v>60.493170573097224</v>
      </c>
      <c r="L29" s="12">
        <v>0</v>
      </c>
      <c r="M29" s="12">
        <f t="shared" si="2"/>
        <v>70.575365668613429</v>
      </c>
      <c r="O29" s="11" t="s">
        <v>182</v>
      </c>
      <c r="P29" s="19">
        <f t="shared" ref="P29:P34" si="3">((B16-$C$24)/$K$24)</f>
        <v>2019.1082802547771</v>
      </c>
      <c r="Q29" s="19">
        <f t="shared" ref="Q29:Q34" si="4">((C16-$C$24)/$K$24)</f>
        <v>2757.9617834394903</v>
      </c>
      <c r="R29" s="19">
        <f t="shared" ref="R29:R34" si="5">((D16-$C$24)/$K$24)</f>
        <v>2662.4203821656051</v>
      </c>
      <c r="S29" s="19">
        <f t="shared" ref="S29:S34" si="6">((E16-$C$24)/$K$24)</f>
        <v>1917.1974522292994</v>
      </c>
      <c r="T29" s="19">
        <f t="shared" ref="T29:T34" si="7">((F16-$C$24)/$K$24)</f>
        <v>1560.5095541401279</v>
      </c>
      <c r="U29" s="19">
        <f t="shared" ref="U29:U34" si="8">((G16-$C$24)/$K$24)</f>
        <v>1649.6815286624208</v>
      </c>
      <c r="V29" s="19">
        <f t="shared" ref="V29:V34" si="9">((H16-$C$24)/$K$24)</f>
        <v>968.15286624203839</v>
      </c>
      <c r="W29" s="19">
        <f t="shared" ref="W29:W34" si="10">((I16-$C$24)/$K$24)</f>
        <v>445.85987261146505</v>
      </c>
      <c r="X29" s="19">
        <f t="shared" ref="X29:X34" si="11">((J16-$C$24)/$K$24)</f>
        <v>700.6369426751595</v>
      </c>
      <c r="Y29" s="19">
        <f t="shared" ref="Y29:Y34" si="12">((K16-$C$24)/$K$24)</f>
        <v>114.64968152866253</v>
      </c>
      <c r="Z29" s="19">
        <f t="shared" ref="Z29:Z34" si="13">((L16-$C$24)/$K$24)</f>
        <v>-6.3694267515920089</v>
      </c>
      <c r="AA29" s="19">
        <f t="shared" ref="AA29:AA34" si="14">((M16-$C$24)/$K$24)</f>
        <v>133.75796178343961</v>
      </c>
    </row>
    <row r="30" spans="1:27" x14ac:dyDescent="0.25">
      <c r="A30" s="11" t="s">
        <v>183</v>
      </c>
      <c r="B30" s="12">
        <f t="shared" ref="B30:M30" si="15">((B17-$C$24)/$K$24)/$F$24/$H$24</f>
        <v>729.27877857567159</v>
      </c>
      <c r="C30" s="12">
        <f t="shared" si="15"/>
        <v>618.37463252499344</v>
      </c>
      <c r="D30" s="12">
        <f t="shared" si="15"/>
        <v>463.780974393745</v>
      </c>
      <c r="E30" s="12">
        <f t="shared" si="15"/>
        <v>880.51170500841465</v>
      </c>
      <c r="F30" s="12">
        <f t="shared" si="15"/>
        <v>1156.0917042858571</v>
      </c>
      <c r="G30" s="12">
        <f t="shared" si="15"/>
        <v>1569.4617032020212</v>
      </c>
      <c r="H30" s="12">
        <f t="shared" si="15"/>
        <v>1606.4297518855806</v>
      </c>
      <c r="I30" s="12">
        <f t="shared" si="15"/>
        <v>1771.1056051123455</v>
      </c>
      <c r="J30" s="12">
        <f t="shared" si="15"/>
        <v>2154.2290187419608</v>
      </c>
      <c r="K30" s="12">
        <f t="shared" si="15"/>
        <v>2154.2290187419608</v>
      </c>
      <c r="L30" s="12">
        <f t="shared" si="15"/>
        <v>2201.2792625210363</v>
      </c>
      <c r="M30" s="12">
        <f t="shared" si="15"/>
        <v>1757.662678318324</v>
      </c>
      <c r="O30" s="11" t="s">
        <v>183</v>
      </c>
      <c r="P30" s="19">
        <f t="shared" si="3"/>
        <v>1382.1656050955417</v>
      </c>
      <c r="Q30" s="19">
        <f t="shared" si="4"/>
        <v>1171.9745222929939</v>
      </c>
      <c r="R30" s="19">
        <f t="shared" si="5"/>
        <v>878.98089171974527</v>
      </c>
      <c r="S30" s="19">
        <f t="shared" si="6"/>
        <v>1668.7898089171979</v>
      </c>
      <c r="T30" s="19">
        <f t="shared" si="7"/>
        <v>2191.0828025477708</v>
      </c>
      <c r="U30" s="19">
        <f t="shared" si="8"/>
        <v>2974.5222929936308</v>
      </c>
      <c r="V30" s="19">
        <f t="shared" si="9"/>
        <v>3044.5859872611468</v>
      </c>
      <c r="W30" s="19">
        <f t="shared" si="10"/>
        <v>3356.6878980891729</v>
      </c>
      <c r="X30" s="19">
        <f t="shared" si="11"/>
        <v>4082.802547770701</v>
      </c>
      <c r="Y30" s="19">
        <f t="shared" si="12"/>
        <v>4082.802547770701</v>
      </c>
      <c r="Z30" s="19">
        <f t="shared" si="13"/>
        <v>4171.9745222929942</v>
      </c>
      <c r="AA30" s="19">
        <f t="shared" si="14"/>
        <v>3331.2101910828037</v>
      </c>
    </row>
    <row r="31" spans="1:27" x14ac:dyDescent="0.25">
      <c r="A31" s="11" t="s">
        <v>184</v>
      </c>
      <c r="B31" s="12">
        <f t="shared" ref="B31:M31" si="16">((B18-$C$24)/$K$24)/$F$24/$H$24</f>
        <v>1209.8634114619435</v>
      </c>
      <c r="C31" s="12">
        <f t="shared" si="16"/>
        <v>1720.6946296347642</v>
      </c>
      <c r="D31" s="12">
        <f t="shared" si="16"/>
        <v>1787.9092636048722</v>
      </c>
      <c r="E31" s="12">
        <f t="shared" si="16"/>
        <v>1703.8909711422373</v>
      </c>
      <c r="F31" s="12">
        <f t="shared" si="16"/>
        <v>1629.9548737751186</v>
      </c>
      <c r="G31" s="12">
        <f t="shared" si="16"/>
        <v>1599.7082884885699</v>
      </c>
      <c r="H31" s="12">
        <f t="shared" si="16"/>
        <v>1324.1282892111271</v>
      </c>
      <c r="I31" s="12">
        <f t="shared" si="16"/>
        <v>1199.7812163664275</v>
      </c>
      <c r="J31" s="12">
        <f t="shared" si="16"/>
        <v>1179.6168261753951</v>
      </c>
      <c r="K31" s="12">
        <f t="shared" si="16"/>
        <v>890.59390010393088</v>
      </c>
      <c r="L31" s="12">
        <f t="shared" si="16"/>
        <v>813.29707103830663</v>
      </c>
      <c r="M31" s="12">
        <f t="shared" si="16"/>
        <v>1028.3838997426519</v>
      </c>
      <c r="O31" s="11" t="s">
        <v>184</v>
      </c>
      <c r="P31" s="19">
        <f t="shared" si="3"/>
        <v>2292.9936305732485</v>
      </c>
      <c r="Q31" s="19">
        <f t="shared" si="4"/>
        <v>3261.1464968152868</v>
      </c>
      <c r="R31" s="19">
        <f t="shared" si="5"/>
        <v>3388.5350318471342</v>
      </c>
      <c r="S31" s="19">
        <f t="shared" si="6"/>
        <v>3229.2993630573255</v>
      </c>
      <c r="T31" s="19">
        <f t="shared" si="7"/>
        <v>3089.1719745222936</v>
      </c>
      <c r="U31" s="19">
        <f t="shared" si="8"/>
        <v>3031.8471337579622</v>
      </c>
      <c r="V31" s="19">
        <f t="shared" si="9"/>
        <v>2509.554140127389</v>
      </c>
      <c r="W31" s="19">
        <f t="shared" si="10"/>
        <v>2273.8853503184719</v>
      </c>
      <c r="X31" s="19">
        <f t="shared" si="11"/>
        <v>2235.6687898089176</v>
      </c>
      <c r="Y31" s="19">
        <f t="shared" si="12"/>
        <v>1687.898089171975</v>
      </c>
      <c r="Z31" s="19">
        <f t="shared" si="13"/>
        <v>1541.4012738853507</v>
      </c>
      <c r="AA31" s="19">
        <f t="shared" si="14"/>
        <v>1949.0445859872611</v>
      </c>
    </row>
    <row r="32" spans="1:27" x14ac:dyDescent="0.25">
      <c r="A32" s="11" t="s">
        <v>185</v>
      </c>
      <c r="B32" s="12">
        <f>((B19-$C$24)/$K$24)/$F$24/($H$24*2)</f>
        <v>295.74438946847516</v>
      </c>
      <c r="C32" s="12">
        <f t="shared" ref="C32:M32" si="17">((C19-$C$24)/$K$24)/$F$24/$H$24</f>
        <v>319.26951135801295</v>
      </c>
      <c r="D32" s="12" t="e">
        <f t="shared" si="17"/>
        <v>#VALUE!</v>
      </c>
      <c r="E32" s="12">
        <f t="shared" si="17"/>
        <v>191.56170681480791</v>
      </c>
      <c r="F32" s="12">
        <f t="shared" si="17"/>
        <v>20.16439019103241</v>
      </c>
      <c r="G32" s="12">
        <f t="shared" si="17"/>
        <v>36.968048683559417</v>
      </c>
      <c r="H32" s="12">
        <v>0</v>
      </c>
      <c r="I32" s="12">
        <v>0</v>
      </c>
      <c r="J32" s="12">
        <f t="shared" si="17"/>
        <v>57.132438874591827</v>
      </c>
      <c r="K32" s="12">
        <v>0</v>
      </c>
      <c r="L32" s="12">
        <v>0</v>
      </c>
      <c r="M32" s="12">
        <f t="shared" si="17"/>
        <v>16.803658492527006</v>
      </c>
      <c r="O32" s="11" t="s">
        <v>185</v>
      </c>
      <c r="P32" s="19">
        <f t="shared" si="3"/>
        <v>1121.0191082802551</v>
      </c>
      <c r="Q32" s="19">
        <f t="shared" si="4"/>
        <v>605.09554140127409</v>
      </c>
      <c r="R32" s="19" t="e">
        <f t="shared" si="5"/>
        <v>#VALUE!</v>
      </c>
      <c r="S32" s="19">
        <f t="shared" si="6"/>
        <v>363.05732484076469</v>
      </c>
      <c r="T32" s="19">
        <f t="shared" si="7"/>
        <v>38.216560509554178</v>
      </c>
      <c r="U32" s="19">
        <f t="shared" si="8"/>
        <v>70.063694267515984</v>
      </c>
      <c r="V32" s="19">
        <f t="shared" si="9"/>
        <v>-76.433121019108</v>
      </c>
      <c r="W32" s="19">
        <f t="shared" si="10"/>
        <v>-57.324840764330908</v>
      </c>
      <c r="X32" s="19">
        <f t="shared" si="11"/>
        <v>108.28025477707017</v>
      </c>
      <c r="Y32" s="19">
        <f t="shared" si="12"/>
        <v>-76.433121019108</v>
      </c>
      <c r="Z32" s="19">
        <f t="shared" si="13"/>
        <v>-140.12738853503163</v>
      </c>
      <c r="AA32" s="19">
        <f t="shared" si="14"/>
        <v>31.847133757961814</v>
      </c>
    </row>
    <row r="33" spans="1:27" x14ac:dyDescent="0.25">
      <c r="A33" s="11" t="s">
        <v>186</v>
      </c>
      <c r="B33" s="12">
        <v>0</v>
      </c>
      <c r="C33" s="12">
        <v>0</v>
      </c>
      <c r="D33" s="12">
        <f t="shared" ref="D33:M33" si="18">((D20-$C$24)/$K$24)/$F$24/$H$24</f>
        <v>20.16439019103241</v>
      </c>
      <c r="E33" s="12">
        <v>0</v>
      </c>
      <c r="F33" s="12">
        <v>0</v>
      </c>
      <c r="G33" s="12">
        <f t="shared" si="18"/>
        <v>33.607316985054013</v>
      </c>
      <c r="H33" s="12">
        <v>0</v>
      </c>
      <c r="I33" s="12">
        <f t="shared" si="18"/>
        <v>0</v>
      </c>
      <c r="J33" s="12">
        <f t="shared" si="18"/>
        <v>77.296829065624223</v>
      </c>
      <c r="K33" s="12">
        <v>0</v>
      </c>
      <c r="L33" s="12">
        <f t="shared" si="18"/>
        <v>23.525121889537807</v>
      </c>
      <c r="M33" s="12">
        <f t="shared" si="18"/>
        <v>60.493170573097224</v>
      </c>
      <c r="O33" s="11" t="s">
        <v>186</v>
      </c>
      <c r="P33" s="19">
        <f t="shared" si="3"/>
        <v>-44.585987261146187</v>
      </c>
      <c r="Q33" s="19">
        <f t="shared" si="4"/>
        <v>-12.738853503184371</v>
      </c>
      <c r="R33" s="19">
        <f t="shared" si="5"/>
        <v>38.216560509554178</v>
      </c>
      <c r="S33" s="19">
        <f t="shared" si="6"/>
        <v>-108.28025477706981</v>
      </c>
      <c r="T33" s="19">
        <f t="shared" si="7"/>
        <v>-152.86624203821634</v>
      </c>
      <c r="U33" s="19">
        <f t="shared" si="8"/>
        <v>63.694267515923627</v>
      </c>
      <c r="V33" s="19">
        <f t="shared" si="9"/>
        <v>-44.585987261146187</v>
      </c>
      <c r="W33" s="19">
        <f t="shared" si="10"/>
        <v>0</v>
      </c>
      <c r="X33" s="19">
        <f t="shared" si="11"/>
        <v>146.49681528662433</v>
      </c>
      <c r="Y33" s="19">
        <f t="shared" si="12"/>
        <v>-31.847133757961458</v>
      </c>
      <c r="Z33" s="19">
        <f t="shared" si="13"/>
        <v>44.585987261146535</v>
      </c>
      <c r="AA33" s="19">
        <f t="shared" si="14"/>
        <v>114.64968152866253</v>
      </c>
    </row>
    <row r="34" spans="1:27" x14ac:dyDescent="0.25">
      <c r="A34" s="11" t="s">
        <v>187</v>
      </c>
      <c r="B34" s="12">
        <f t="shared" ref="B34:M34" si="19">((B21-$C$24)/$K$24)/$F$24/$H$24</f>
        <v>-25796.976517727438</v>
      </c>
      <c r="C34" s="12">
        <f t="shared" si="19"/>
        <v>-50.410975477580834</v>
      </c>
      <c r="D34" s="12">
        <f t="shared" si="19"/>
        <v>47.050243779075615</v>
      </c>
      <c r="E34" s="12">
        <f t="shared" si="19"/>
        <v>3.3607316985054014</v>
      </c>
      <c r="F34" s="12">
        <f t="shared" si="19"/>
        <v>-19125.924096194223</v>
      </c>
      <c r="G34" s="12">
        <f t="shared" si="19"/>
        <v>-19166.252876576291</v>
      </c>
      <c r="H34" s="12">
        <f t="shared" si="19"/>
        <v>-14168.844840898762</v>
      </c>
      <c r="I34" s="12">
        <f t="shared" si="19"/>
        <v>-14814.105327011799</v>
      </c>
      <c r="J34" s="12">
        <f t="shared" si="19"/>
        <v>-20396.280678229265</v>
      </c>
      <c r="K34" s="12">
        <f t="shared" si="19"/>
        <v>-20732.353848079802</v>
      </c>
      <c r="L34" s="12">
        <f t="shared" si="19"/>
        <v>-22019.514088607368</v>
      </c>
      <c r="M34" s="12">
        <f t="shared" si="19"/>
        <v>-16783.494102335961</v>
      </c>
      <c r="O34" s="11" t="s">
        <v>187</v>
      </c>
      <c r="P34" s="19">
        <f t="shared" si="3"/>
        <v>-48891.71974522293</v>
      </c>
      <c r="Q34" s="19">
        <f t="shared" si="4"/>
        <v>-95.541401273885086</v>
      </c>
      <c r="R34" s="19">
        <f t="shared" si="5"/>
        <v>89.17197452229307</v>
      </c>
      <c r="S34" s="19">
        <f t="shared" si="6"/>
        <v>6.3694267515923624</v>
      </c>
      <c r="T34" s="19">
        <f t="shared" si="7"/>
        <v>-36248.407643312101</v>
      </c>
      <c r="U34" s="19">
        <f t="shared" si="8"/>
        <v>-36324.840764331217</v>
      </c>
      <c r="V34" s="19">
        <f t="shared" si="9"/>
        <v>-26853.50318471338</v>
      </c>
      <c r="W34" s="19">
        <f t="shared" si="10"/>
        <v>-28076.433121019112</v>
      </c>
      <c r="X34" s="19">
        <f t="shared" si="11"/>
        <v>-38656.050955414015</v>
      </c>
      <c r="Y34" s="19">
        <f t="shared" si="12"/>
        <v>-39292.993630573248</v>
      </c>
      <c r="Z34" s="19">
        <f t="shared" si="13"/>
        <v>-41732.484076433117</v>
      </c>
      <c r="AA34" s="19">
        <f t="shared" si="14"/>
        <v>-31808.917197452229</v>
      </c>
    </row>
    <row r="35" spans="1:27" x14ac:dyDescent="0.25">
      <c r="A35" s="11" t="s">
        <v>188</v>
      </c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  <c r="O35" s="11" t="s">
        <v>188</v>
      </c>
      <c r="P35" s="15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</row>
    <row r="37" spans="1:27" x14ac:dyDescent="0.25">
      <c r="C37" t="s">
        <v>221</v>
      </c>
      <c r="D37" t="s">
        <v>218</v>
      </c>
      <c r="Q37" t="s">
        <v>217</v>
      </c>
      <c r="R37" t="s">
        <v>218</v>
      </c>
    </row>
    <row r="38" spans="1:27" x14ac:dyDescent="0.25">
      <c r="B38" t="s">
        <v>193</v>
      </c>
      <c r="C38">
        <f>AVERAGE(B28,C28)</f>
        <v>50.410975477581019</v>
      </c>
      <c r="D38">
        <f>_xlfn.STDEV.S(B28,C28)/SQRT(COUNT(B28,C28))</f>
        <v>6.7214633970108162</v>
      </c>
      <c r="P38" t="s">
        <v>193</v>
      </c>
      <c r="Q38">
        <f>AVERAGE(P28,Q28)</f>
        <v>149.68152866242053</v>
      </c>
      <c r="R38">
        <f>_xlfn.STDEV.S(P28,Q28)/SQRT(COUNT(P28,Q28))</f>
        <v>66.878980891719777</v>
      </c>
    </row>
    <row r="39" spans="1:27" x14ac:dyDescent="0.25">
      <c r="B39" t="s">
        <v>194</v>
      </c>
      <c r="C39">
        <f>AVERAGE(E28,F28)</f>
        <v>172.23749954840179</v>
      </c>
      <c r="D39">
        <f>_xlfn.STDEV.S(E28,F28)/SQRT(COUNT(E28,F28))</f>
        <v>19.324207266406226</v>
      </c>
      <c r="E39">
        <f>C39/$C$39</f>
        <v>1</v>
      </c>
      <c r="P39" t="s">
        <v>194</v>
      </c>
      <c r="Q39">
        <f>AVERAGE(S28,T28)</f>
        <v>471.33757961783465</v>
      </c>
      <c r="R39">
        <f>_xlfn.STDEV.S(S28,T28)/SQRT(COUNT(S28,T28))</f>
        <v>108.28025477706998</v>
      </c>
      <c r="S39">
        <f>Q39/$C$39</f>
        <v>2.7365560975609755</v>
      </c>
    </row>
    <row r="40" spans="1:27" x14ac:dyDescent="0.25">
      <c r="B40" t="s">
        <v>195</v>
      </c>
      <c r="C40">
        <f>AVERAGE(I28,J28)</f>
        <v>223.48865795060911</v>
      </c>
      <c r="D40">
        <f>_xlfn.STDEV.S(I28,J28)/SQRT(COUNT(I28,J28))</f>
        <v>31.926951135801175</v>
      </c>
      <c r="E40">
        <f t="shared" ref="E40:E61" si="20">C40/$C$39</f>
        <v>1.2975609756097559</v>
      </c>
      <c r="P40" t="s">
        <v>195</v>
      </c>
      <c r="Q40">
        <f>AVERAGE(W28,X28)</f>
        <v>423.56687898089194</v>
      </c>
      <c r="R40">
        <f>_xlfn.STDEV.S(W28,X28)/SQRT(COUNT(W28,X28))</f>
        <v>60.5095541401272</v>
      </c>
      <c r="S40">
        <f t="shared" ref="S40:S61" si="21">Q40/$C$39</f>
        <v>2.4592024390243901</v>
      </c>
    </row>
    <row r="41" spans="1:27" x14ac:dyDescent="0.25">
      <c r="B41" t="s">
        <v>196</v>
      </c>
      <c r="C41">
        <f>AVERAGE(K28,L28,M28)</f>
        <v>38.088292583061211</v>
      </c>
      <c r="D41">
        <f>_xlfn.STDEV.S(K28,L28,M28)/SQRT(COUNT(K28,L28,M28))</f>
        <v>20.195484103397352</v>
      </c>
      <c r="E41">
        <f t="shared" si="20"/>
        <v>0.22113821138211384</v>
      </c>
      <c r="P41" t="s">
        <v>196</v>
      </c>
      <c r="Q41">
        <f>AVERAGE(Y28,Z28,AA28)</f>
        <v>72.186836518046775</v>
      </c>
      <c r="R41">
        <f>_xlfn.STDEV.S(Y28,Z28,AA28)/SQRT(COUNT(Y28,Z28,AA28))</f>
        <v>38.27549124696381</v>
      </c>
      <c r="S41">
        <f t="shared" si="21"/>
        <v>0.41911219512195136</v>
      </c>
    </row>
    <row r="42" spans="1:27" x14ac:dyDescent="0.25">
      <c r="B42" t="s">
        <v>197</v>
      </c>
      <c r="C42">
        <f>AVERAGE(B29:D29)</f>
        <v>1308.4448746181017</v>
      </c>
      <c r="D42">
        <f>_xlfn.STDEV.S(B29:D29)/SQRT(COUNT(B29:D29))</f>
        <v>122.41452076932677</v>
      </c>
      <c r="E42">
        <f t="shared" si="20"/>
        <v>7.5967479674796694</v>
      </c>
      <c r="P42" t="s">
        <v>197</v>
      </c>
      <c r="Q42" s="21">
        <f>AVERAGE(P29:R29)</f>
        <v>2479.8301486199575</v>
      </c>
      <c r="R42">
        <f>_xlfn.STDEV.S(P29:R29)/SQRT(COUNT(P29:R29))</f>
        <v>232.0061204880688</v>
      </c>
      <c r="S42">
        <f t="shared" si="21"/>
        <v>14.397736585365845</v>
      </c>
    </row>
    <row r="43" spans="1:27" x14ac:dyDescent="0.25">
      <c r="B43" t="s">
        <v>198</v>
      </c>
      <c r="C43">
        <f>AVERAGE(E29:G29)</f>
        <v>901.79633909894881</v>
      </c>
      <c r="D43">
        <f>_xlfn.STDEV.S(E29:G29)/SQRT(COUNT(E29:G29))</f>
        <v>56.547355489512448</v>
      </c>
      <c r="E43">
        <f t="shared" si="20"/>
        <v>5.2357723577235751</v>
      </c>
      <c r="P43" t="s">
        <v>198</v>
      </c>
      <c r="Q43">
        <f>AVERAGE(S29:U29)</f>
        <v>1709.1295116772826</v>
      </c>
      <c r="R43">
        <f>_xlfn.STDEV.S(S29:U29)/SQRT(COUNT(S29:U29))</f>
        <v>107.17137549149849</v>
      </c>
      <c r="S43">
        <f t="shared" si="21"/>
        <v>9.923097560975604</v>
      </c>
    </row>
    <row r="44" spans="1:27" x14ac:dyDescent="0.25">
      <c r="B44" t="s">
        <v>199</v>
      </c>
      <c r="C44">
        <f>AVERAGE(H29:J29)</f>
        <v>371.92097463459754</v>
      </c>
      <c r="D44">
        <f>_xlfn.STDEV.S(H29:J29)/SQRT(COUNT(H29:J29))</f>
        <v>79.560980469117467</v>
      </c>
      <c r="E44">
        <f t="shared" si="20"/>
        <v>2.1593495934959344</v>
      </c>
      <c r="P44" t="s">
        <v>199</v>
      </c>
      <c r="Q44">
        <f>AVERAGE(V29:X29)</f>
        <v>704.88322717622088</v>
      </c>
      <c r="R44">
        <f>_xlfn.STDEV.S(V29:X29)/SQRT(COUNT(V29:X29))</f>
        <v>150.78794823409521</v>
      </c>
      <c r="S44">
        <f t="shared" si="21"/>
        <v>4.0925073170731689</v>
      </c>
    </row>
    <row r="45" spans="1:27" x14ac:dyDescent="0.25">
      <c r="B45" t="s">
        <v>200</v>
      </c>
      <c r="C45">
        <f>AVERAGE(K29,M29)</f>
        <v>65.53426812085533</v>
      </c>
      <c r="D45">
        <f>_xlfn.STDEV.S(K29,M29)/SQRT(COUNT(K29,M29))</f>
        <v>5.0410975477581017</v>
      </c>
      <c r="E45">
        <f t="shared" si="20"/>
        <v>0.3804878048780489</v>
      </c>
      <c r="P45" t="s">
        <v>200</v>
      </c>
      <c r="Q45">
        <f>AVERAGE(Y29,AA29)</f>
        <v>124.20382165605108</v>
      </c>
      <c r="R45">
        <f>_xlfn.STDEV.S(Y29,AA29)/SQRT(COUNT(Y29,AA29))</f>
        <v>9.5541401273885409</v>
      </c>
      <c r="S45">
        <f t="shared" si="21"/>
        <v>0.72111951219512216</v>
      </c>
    </row>
    <row r="46" spans="1:27" x14ac:dyDescent="0.25">
      <c r="B46" t="s">
        <v>201</v>
      </c>
      <c r="C46">
        <f>AVERAGE(B30:D30)</f>
        <v>603.81146183146996</v>
      </c>
      <c r="D46">
        <f>_xlfn.STDEV.S(B30:D30)/SQRT(COUNT(B30:D30))</f>
        <v>76.987738118574939</v>
      </c>
      <c r="E46">
        <f t="shared" si="20"/>
        <v>3.505691056910567</v>
      </c>
      <c r="P46" t="s">
        <v>201</v>
      </c>
      <c r="Q46">
        <f>AVERAGE(P30:R30)</f>
        <v>1144.3736730360936</v>
      </c>
      <c r="R46">
        <f>_xlfn.STDEV.S(P30:R30)/SQRT(COUNT(P30:R30))</f>
        <v>145.91101066922852</v>
      </c>
      <c r="S46">
        <f t="shared" si="21"/>
        <v>6.6441609756097533</v>
      </c>
    </row>
    <row r="47" spans="1:27" x14ac:dyDescent="0.25">
      <c r="B47" t="s">
        <v>203</v>
      </c>
      <c r="C47">
        <f>AVERAGE(E30:G30)</f>
        <v>1202.0217041654312</v>
      </c>
      <c r="D47">
        <f>_xlfn.STDEV.S(E30:G30)/SQRT(COUNT(E30:G30))</f>
        <v>200.20422795189688</v>
      </c>
      <c r="E47">
        <f t="shared" si="20"/>
        <v>6.9788617886178832</v>
      </c>
      <c r="P47" t="s">
        <v>203</v>
      </c>
      <c r="Q47" s="21">
        <f>AVERAGE(S30:U30)</f>
        <v>2278.1316348195332</v>
      </c>
      <c r="R47">
        <f>_xlfn.STDEV.S(S30:U30)/SQRT(COUNT(S30:U30))</f>
        <v>379.43706302583337</v>
      </c>
      <c r="S47">
        <f t="shared" si="21"/>
        <v>13.226687804878042</v>
      </c>
    </row>
    <row r="48" spans="1:27" x14ac:dyDescent="0.25">
      <c r="B48" t="s">
        <v>202</v>
      </c>
      <c r="C48">
        <f>AVERAGE(H30:J30)</f>
        <v>1843.9214585799625</v>
      </c>
      <c r="D48">
        <f>_xlfn.STDEV.S(H30:J30)/SQRT(COUNT(H30:J30))</f>
        <v>162.27304210215013</v>
      </c>
      <c r="E48">
        <f t="shared" si="20"/>
        <v>10.705691056910565</v>
      </c>
      <c r="P48" t="s">
        <v>202</v>
      </c>
      <c r="Q48" s="21">
        <f>AVERAGE(V30:X30)</f>
        <v>3494.6921443736737</v>
      </c>
      <c r="R48">
        <f>_xlfn.STDEV.S(V30:X30)/SQRT(COUNT(V30:X30))</f>
        <v>307.54798304410076</v>
      </c>
      <c r="S48">
        <f t="shared" si="21"/>
        <v>20.289960975609748</v>
      </c>
    </row>
    <row r="49" spans="2:19" x14ac:dyDescent="0.25">
      <c r="B49" t="s">
        <v>204</v>
      </c>
      <c r="C49">
        <f>AVERAGE(K30:M30)</f>
        <v>2037.7236531937735</v>
      </c>
      <c r="D49">
        <f>_xlfn.STDEV.S(K30:M30)/SQRT(COUNT(K30:M30))</f>
        <v>140.68764882540103</v>
      </c>
      <c r="E49">
        <f t="shared" si="20"/>
        <v>11.830894308943083</v>
      </c>
      <c r="P49" t="s">
        <v>204</v>
      </c>
      <c r="Q49" s="21">
        <f>AVERAGE(Y30:AA30)</f>
        <v>3861.9957537155001</v>
      </c>
      <c r="R49">
        <f>_xlfn.STDEV.S(Y30:AA30)/SQRT(COUNT(Y30:AA30))</f>
        <v>266.63826643634121</v>
      </c>
      <c r="S49">
        <f t="shared" si="21"/>
        <v>22.422502439024385</v>
      </c>
    </row>
    <row r="50" spans="2:19" x14ac:dyDescent="0.25">
      <c r="B50" t="s">
        <v>205</v>
      </c>
      <c r="C50">
        <f>AVERAGE(B31:D31)</f>
        <v>1572.8224349005268</v>
      </c>
      <c r="D50">
        <f>_xlfn.STDEV.S(B31:D31)/SQRT(COUNT(B31:D31))</f>
        <v>182.51382712601162</v>
      </c>
      <c r="E50">
        <f t="shared" si="20"/>
        <v>9.1317073170731664</v>
      </c>
      <c r="P50" t="s">
        <v>205</v>
      </c>
      <c r="Q50" s="21">
        <f>AVERAGE(P31:R31)</f>
        <v>2980.8917197452229</v>
      </c>
      <c r="R50">
        <f>_xlfn.STDEV.S(P31:R31)/SQRT(COUNT(P31:R31))</f>
        <v>345.90933086057555</v>
      </c>
      <c r="S50">
        <f t="shared" si="21"/>
        <v>17.306868292682914</v>
      </c>
    </row>
    <row r="51" spans="2:19" x14ac:dyDescent="0.25">
      <c r="B51" t="s">
        <v>206</v>
      </c>
      <c r="C51">
        <f>AVERAGE(E31:G31)</f>
        <v>1644.5180444686418</v>
      </c>
      <c r="D51">
        <f>_xlfn.STDEV.S(E31:G31)/SQRT(COUNT(E31:G31))</f>
        <v>30.943886292853897</v>
      </c>
      <c r="E51">
        <f t="shared" si="20"/>
        <v>9.5479674796747922</v>
      </c>
      <c r="P51" t="s">
        <v>206</v>
      </c>
      <c r="Q51" s="21">
        <f>AVERAGE(S31:U31)</f>
        <v>3116.7728237791939</v>
      </c>
      <c r="R51">
        <f>_xlfn.STDEV.S(S31:U31)/SQRT(COUNT(S31:U31))</f>
        <v>58.646400496531434</v>
      </c>
      <c r="S51">
        <f t="shared" si="21"/>
        <v>18.095785365853651</v>
      </c>
    </row>
    <row r="52" spans="2:19" x14ac:dyDescent="0.25">
      <c r="B52" t="s">
        <v>207</v>
      </c>
      <c r="C52">
        <f>AVERAGE(H31:J31)</f>
        <v>1234.5087772509833</v>
      </c>
      <c r="D52">
        <f>_xlfn.STDEV.S(H31:J31)/SQRT(COUNT(H31:J31))</f>
        <v>45.186256579203487</v>
      </c>
      <c r="E52">
        <f t="shared" si="20"/>
        <v>7.1674796747967449</v>
      </c>
      <c r="P52" t="s">
        <v>207</v>
      </c>
      <c r="Q52" s="21">
        <f>AVERAGE(V31:X31)</f>
        <v>2339.702760084926</v>
      </c>
      <c r="R52">
        <f>_xlfn.STDEV.S(V31:X31)/SQRT(COUNT(V31:X31))</f>
        <v>85.639252781735493</v>
      </c>
      <c r="S52">
        <f t="shared" si="21"/>
        <v>13.584165853658529</v>
      </c>
    </row>
    <row r="53" spans="2:19" x14ac:dyDescent="0.25">
      <c r="B53" t="s">
        <v>208</v>
      </c>
      <c r="C53">
        <f>AVERAGE(K31:M31)</f>
        <v>910.7582902949631</v>
      </c>
      <c r="D53">
        <f>_xlfn.STDEV.S(K31:M31)/SQRT(COUNT(K31:M31))</f>
        <v>62.903465575846838</v>
      </c>
      <c r="E53">
        <f t="shared" si="20"/>
        <v>5.2878048780487781</v>
      </c>
      <c r="P53" t="s">
        <v>208</v>
      </c>
      <c r="Q53">
        <f>AVERAGE(Y31:AA31)</f>
        <v>1726.114649681529</v>
      </c>
      <c r="R53">
        <f>_xlfn.STDEV.S(Y31:AA31)/SQRT(COUNT(Y31:AA31))</f>
        <v>119.21779313262371</v>
      </c>
      <c r="S53">
        <f t="shared" si="21"/>
        <v>10.021712195121948</v>
      </c>
    </row>
    <row r="54" spans="2:19" x14ac:dyDescent="0.25">
      <c r="B54" t="s">
        <v>209</v>
      </c>
      <c r="C54">
        <f>AVERAGE(B32:C32)</f>
        <v>307.50695041324406</v>
      </c>
      <c r="D54">
        <f>_xlfn.STDEV.S(B32:C32)/SQRT(COUNT(B32:C32))</f>
        <v>11.762560944768893</v>
      </c>
      <c r="E54">
        <f t="shared" si="20"/>
        <v>1.785365853658536</v>
      </c>
      <c r="P54" t="s">
        <v>209</v>
      </c>
      <c r="Q54">
        <f>AVERAGE(P32:Q32)</f>
        <v>863.05732484076452</v>
      </c>
      <c r="R54">
        <f>_xlfn.STDEV.S(P32:Q32)/SQRT(COUNT(P32:Q32))</f>
        <v>257.96178343949072</v>
      </c>
      <c r="S54">
        <f t="shared" si="21"/>
        <v>5.0108560975609739</v>
      </c>
    </row>
    <row r="55" spans="2:19" x14ac:dyDescent="0.25">
      <c r="B55" t="s">
        <v>210</v>
      </c>
      <c r="C55">
        <f>AVERAGE(E32:G32)</f>
        <v>82.89804856313323</v>
      </c>
      <c r="D55">
        <f>_xlfn.STDEV.S(E32:G32)/SQRT(COUNT(E32:G32))</f>
        <v>54.547941309032396</v>
      </c>
      <c r="E55">
        <f t="shared" si="20"/>
        <v>0.48130081300813016</v>
      </c>
      <c r="P55" t="s">
        <v>210</v>
      </c>
      <c r="Q55">
        <f>AVERAGE(S32:U32)</f>
        <v>157.11252653927829</v>
      </c>
      <c r="R55">
        <f>_xlfn.STDEV.S(S32:U32)/SQRT(COUNT(S32:U32))</f>
        <v>103.38198576594364</v>
      </c>
      <c r="S55">
        <f t="shared" si="21"/>
        <v>0.91218536585365895</v>
      </c>
    </row>
    <row r="56" spans="2:19" x14ac:dyDescent="0.25">
      <c r="B56" t="s">
        <v>211</v>
      </c>
      <c r="C56">
        <f>AVERAGE(J32)</f>
        <v>57.132438874591827</v>
      </c>
      <c r="D56" t="e">
        <f>_xlfn.STDEV.S(J32)/SQRT(COUNT(J32))</f>
        <v>#DIV/0!</v>
      </c>
      <c r="E56">
        <f t="shared" si="20"/>
        <v>0.3317073170731708</v>
      </c>
      <c r="P56" t="s">
        <v>211</v>
      </c>
      <c r="Q56">
        <f>AVERAGE(X32)</f>
        <v>108.28025477707017</v>
      </c>
      <c r="R56" t="e">
        <f>_xlfn.STDEV.S(X32)/SQRT(COUNT(X32))</f>
        <v>#DIV/0!</v>
      </c>
      <c r="S56">
        <f t="shared" si="21"/>
        <v>0.62866829268292701</v>
      </c>
    </row>
    <row r="57" spans="2:19" x14ac:dyDescent="0.25">
      <c r="B57" t="s">
        <v>212</v>
      </c>
      <c r="C57">
        <f>AVERAGE(M32)</f>
        <v>16.803658492527006</v>
      </c>
      <c r="D57" t="e">
        <f t="shared" ref="D57:D59" si="22">_xlfn.STDEV.S(B47,C47)/SQRT(COUNT(B47,C47))</f>
        <v>#DIV/0!</v>
      </c>
      <c r="E57">
        <f t="shared" si="20"/>
        <v>9.7560975609756115E-2</v>
      </c>
      <c r="P57" t="s">
        <v>212</v>
      </c>
      <c r="Q57">
        <f>AVERAGE(AA32)</f>
        <v>31.847133757961814</v>
      </c>
      <c r="R57" t="e">
        <f t="shared" ref="R57:R59" si="23">_xlfn.STDEV.S(P47,Q47)/SQRT(COUNT(P47,Q47))</f>
        <v>#DIV/0!</v>
      </c>
      <c r="S57">
        <f t="shared" si="21"/>
        <v>0.1849024390243903</v>
      </c>
    </row>
    <row r="58" spans="2:19" x14ac:dyDescent="0.25">
      <c r="B58" t="s">
        <v>213</v>
      </c>
      <c r="C58">
        <f>AVERAGE(D33)</f>
        <v>20.16439019103241</v>
      </c>
      <c r="D58" t="e">
        <f t="shared" si="22"/>
        <v>#DIV/0!</v>
      </c>
      <c r="E58">
        <f t="shared" si="20"/>
        <v>0.11707317073170735</v>
      </c>
      <c r="P58" t="s">
        <v>213</v>
      </c>
      <c r="Q58">
        <f>AVERAGE(R33)</f>
        <v>38.216560509554178</v>
      </c>
      <c r="R58" t="e">
        <f t="shared" si="23"/>
        <v>#DIV/0!</v>
      </c>
      <c r="S58">
        <f t="shared" si="21"/>
        <v>0.22188292682926838</v>
      </c>
    </row>
    <row r="59" spans="2:19" x14ac:dyDescent="0.25">
      <c r="B59" t="s">
        <v>214</v>
      </c>
      <c r="C59">
        <f>AVERAGE(G33)</f>
        <v>33.607316985054013</v>
      </c>
      <c r="D59" t="e">
        <f t="shared" si="22"/>
        <v>#DIV/0!</v>
      </c>
      <c r="E59">
        <f t="shared" si="20"/>
        <v>0.19512195121951223</v>
      </c>
      <c r="P59" t="s">
        <v>214</v>
      </c>
      <c r="Q59">
        <f>AVERAGE(U33)</f>
        <v>63.694267515923627</v>
      </c>
      <c r="R59" t="e">
        <f t="shared" si="23"/>
        <v>#DIV/0!</v>
      </c>
      <c r="S59">
        <f t="shared" si="21"/>
        <v>0.36980487804878059</v>
      </c>
    </row>
    <row r="60" spans="2:19" x14ac:dyDescent="0.25">
      <c r="B60" t="s">
        <v>215</v>
      </c>
      <c r="C60">
        <f>AVERAGE(J33)</f>
        <v>77.296829065624223</v>
      </c>
      <c r="D60" t="e">
        <f>_xlfn.STDEV.S(J33)/SQRT(COUNT(J33))</f>
        <v>#DIV/0!</v>
      </c>
      <c r="E60">
        <f t="shared" si="20"/>
        <v>0.44878048780487811</v>
      </c>
      <c r="P60" t="s">
        <v>215</v>
      </c>
      <c r="Q60">
        <f>AVERAGE(X33)</f>
        <v>146.49681528662433</v>
      </c>
      <c r="R60">
        <f>_xlfn.STDEV.S(V33:X33)/SQRT(COUNT(V33:X33))</f>
        <v>57.716676089461487</v>
      </c>
      <c r="S60">
        <f t="shared" si="21"/>
        <v>0.85055121951219526</v>
      </c>
    </row>
    <row r="61" spans="2:19" x14ac:dyDescent="0.25">
      <c r="B61" t="s">
        <v>216</v>
      </c>
      <c r="C61">
        <f>AVERAGE(L33:M33)</f>
        <v>42.009146231317516</v>
      </c>
      <c r="D61">
        <f>_xlfn.STDEV.S(L33:M33)/SQRT(COUNT(L33:M33))</f>
        <v>18.484024341779705</v>
      </c>
      <c r="E61">
        <f t="shared" si="20"/>
        <v>0.24390243902439029</v>
      </c>
      <c r="P61" t="s">
        <v>216</v>
      </c>
      <c r="Q61">
        <f>AVERAGE(Z33:AA33)</f>
        <v>79.617834394904534</v>
      </c>
      <c r="R61">
        <f>_xlfn.STDEV.S(Z33:AA33)/SQRT(COUNT(Z33:AA33))</f>
        <v>35.031847133757999</v>
      </c>
      <c r="S61">
        <f t="shared" si="21"/>
        <v>0.46225609756097574</v>
      </c>
    </row>
    <row r="64" spans="2:19" x14ac:dyDescent="0.25">
      <c r="C64">
        <f>MAX(C38:C63)</f>
        <v>2037.7236531937735</v>
      </c>
      <c r="Q64">
        <f>MAX(Q38:Q63)</f>
        <v>3861.9957537155001</v>
      </c>
    </row>
    <row r="71" spans="2:14" x14ac:dyDescent="0.25">
      <c r="C71" t="s">
        <v>220</v>
      </c>
    </row>
    <row r="73" spans="2:14" x14ac:dyDescent="0.25">
      <c r="C73" s="11">
        <v>1</v>
      </c>
      <c r="D73" s="11">
        <v>2</v>
      </c>
      <c r="E73" s="11">
        <v>3</v>
      </c>
      <c r="F73" s="11">
        <v>4</v>
      </c>
      <c r="G73" s="11">
        <v>5</v>
      </c>
      <c r="H73" s="11">
        <v>6</v>
      </c>
      <c r="I73" s="11">
        <v>7</v>
      </c>
      <c r="J73" s="11">
        <v>8</v>
      </c>
      <c r="K73" s="11">
        <v>9</v>
      </c>
      <c r="L73" s="11">
        <v>10</v>
      </c>
      <c r="M73" s="11">
        <v>11</v>
      </c>
      <c r="N73" s="11">
        <v>12</v>
      </c>
    </row>
    <row r="74" spans="2:14" x14ac:dyDescent="0.25">
      <c r="B74" s="11" t="s">
        <v>181</v>
      </c>
      <c r="C74" s="19">
        <f>(B15-$C$24)</f>
        <v>3.400000000000003E-2</v>
      </c>
      <c r="D74" s="19">
        <f t="shared" ref="D74:N74" si="24">(C15-$C$24)</f>
        <v>1.3000000000000012E-2</v>
      </c>
      <c r="E74" s="19">
        <f t="shared" si="24"/>
        <v>-6.5380000000000003</v>
      </c>
      <c r="F74" s="19">
        <f t="shared" si="24"/>
        <v>9.1000000000000025E-2</v>
      </c>
      <c r="G74" s="19">
        <f t="shared" si="24"/>
        <v>5.7000000000000051E-2</v>
      </c>
      <c r="H74" s="19">
        <f t="shared" si="24"/>
        <v>-5.5359999999999996</v>
      </c>
      <c r="I74" s="19">
        <f t="shared" si="24"/>
        <v>-1.8999999999999961E-2</v>
      </c>
      <c r="J74" s="19">
        <f t="shared" si="24"/>
        <v>5.7000000000000051E-2</v>
      </c>
      <c r="K74" s="19">
        <f t="shared" si="24"/>
        <v>7.6000000000000012E-2</v>
      </c>
      <c r="L74" s="19">
        <f t="shared" si="24"/>
        <v>2.300000000000002E-2</v>
      </c>
      <c r="M74" s="19">
        <f t="shared" si="24"/>
        <v>8.0000000000000071E-3</v>
      </c>
      <c r="N74" s="19">
        <f t="shared" si="24"/>
        <v>3.0000000000000027E-3</v>
      </c>
    </row>
    <row r="75" spans="2:14" x14ac:dyDescent="0.25">
      <c r="B75" s="11" t="s">
        <v>182</v>
      </c>
      <c r="C75" s="19">
        <f t="shared" ref="C75:N75" si="25">(B16-$C$24)</f>
        <v>0.317</v>
      </c>
      <c r="D75" s="19">
        <f t="shared" si="25"/>
        <v>0.433</v>
      </c>
      <c r="E75" s="19">
        <f t="shared" si="25"/>
        <v>0.41799999999999998</v>
      </c>
      <c r="F75" s="19">
        <f t="shared" si="25"/>
        <v>0.30099999999999999</v>
      </c>
      <c r="G75" s="19">
        <f t="shared" si="25"/>
        <v>0.24500000000000005</v>
      </c>
      <c r="H75" s="19">
        <f t="shared" si="25"/>
        <v>0.25900000000000006</v>
      </c>
      <c r="I75" s="19">
        <f t="shared" si="25"/>
        <v>0.15200000000000002</v>
      </c>
      <c r="J75" s="19">
        <f t="shared" si="25"/>
        <v>7.0000000000000007E-2</v>
      </c>
      <c r="K75" s="19">
        <f t="shared" si="25"/>
        <v>0.11000000000000004</v>
      </c>
      <c r="L75" s="19">
        <f t="shared" si="25"/>
        <v>1.8000000000000016E-2</v>
      </c>
      <c r="M75" s="19">
        <f t="shared" si="25"/>
        <v>-9.9999999999994538E-4</v>
      </c>
      <c r="N75" s="19">
        <f t="shared" si="25"/>
        <v>2.1000000000000019E-2</v>
      </c>
    </row>
    <row r="76" spans="2:14" x14ac:dyDescent="0.25">
      <c r="B76" s="11" t="s">
        <v>183</v>
      </c>
      <c r="C76" s="19">
        <f t="shared" ref="C76:N76" si="26">(B17-$C$24)</f>
        <v>0.21700000000000003</v>
      </c>
      <c r="D76" s="19">
        <f t="shared" si="26"/>
        <v>0.18400000000000005</v>
      </c>
      <c r="E76" s="19">
        <f t="shared" si="26"/>
        <v>0.13800000000000001</v>
      </c>
      <c r="F76" s="19">
        <f t="shared" si="26"/>
        <v>0.26200000000000007</v>
      </c>
      <c r="G76" s="19">
        <f t="shared" si="26"/>
        <v>0.34400000000000003</v>
      </c>
      <c r="H76" s="19">
        <f t="shared" si="26"/>
        <v>0.46700000000000003</v>
      </c>
      <c r="I76" s="19">
        <f t="shared" si="26"/>
        <v>0.47800000000000004</v>
      </c>
      <c r="J76" s="19">
        <f t="shared" si="26"/>
        <v>0.52700000000000014</v>
      </c>
      <c r="K76" s="19">
        <f t="shared" si="26"/>
        <v>0.64100000000000001</v>
      </c>
      <c r="L76" s="19">
        <f t="shared" si="26"/>
        <v>0.64100000000000001</v>
      </c>
      <c r="M76" s="19">
        <f t="shared" si="26"/>
        <v>0.65500000000000003</v>
      </c>
      <c r="N76" s="19">
        <f t="shared" si="26"/>
        <v>0.52300000000000013</v>
      </c>
    </row>
    <row r="77" spans="2:14" x14ac:dyDescent="0.25">
      <c r="B77" s="11" t="s">
        <v>184</v>
      </c>
      <c r="C77" s="19">
        <f t="shared" ref="C77:N77" si="27">(B18-$C$24)</f>
        <v>0.36000000000000004</v>
      </c>
      <c r="D77" s="19">
        <f t="shared" si="27"/>
        <v>0.51200000000000001</v>
      </c>
      <c r="E77" s="19">
        <f t="shared" si="27"/>
        <v>0.53200000000000003</v>
      </c>
      <c r="F77" s="19">
        <f t="shared" si="27"/>
        <v>0.50700000000000012</v>
      </c>
      <c r="G77" s="19">
        <f t="shared" si="27"/>
        <v>0.48500000000000004</v>
      </c>
      <c r="H77" s="19">
        <f t="shared" si="27"/>
        <v>0.47600000000000003</v>
      </c>
      <c r="I77" s="19">
        <f t="shared" si="27"/>
        <v>0.39400000000000007</v>
      </c>
      <c r="J77" s="19">
        <f t="shared" si="27"/>
        <v>0.35700000000000004</v>
      </c>
      <c r="K77" s="19">
        <f t="shared" si="27"/>
        <v>0.35100000000000003</v>
      </c>
      <c r="L77" s="19">
        <f t="shared" si="27"/>
        <v>0.26500000000000007</v>
      </c>
      <c r="M77" s="19">
        <f t="shared" si="27"/>
        <v>0.24200000000000005</v>
      </c>
      <c r="N77" s="19">
        <f t="shared" si="27"/>
        <v>0.30599999999999999</v>
      </c>
    </row>
    <row r="78" spans="2:14" x14ac:dyDescent="0.25">
      <c r="B78" s="11" t="s">
        <v>185</v>
      </c>
      <c r="C78" s="19">
        <f t="shared" ref="C78:N78" si="28">(B19-$C$24)</f>
        <v>0.17600000000000005</v>
      </c>
      <c r="D78" s="19">
        <f t="shared" si="28"/>
        <v>9.5000000000000029E-2</v>
      </c>
      <c r="E78" s="19" t="e">
        <f t="shared" si="28"/>
        <v>#VALUE!</v>
      </c>
      <c r="F78" s="19">
        <f t="shared" si="28"/>
        <v>5.7000000000000051E-2</v>
      </c>
      <c r="G78" s="19">
        <f t="shared" si="28"/>
        <v>6.0000000000000053E-3</v>
      </c>
      <c r="H78" s="19">
        <f t="shared" si="28"/>
        <v>1.100000000000001E-2</v>
      </c>
      <c r="I78" s="19">
        <f t="shared" si="28"/>
        <v>-1.1999999999999955E-2</v>
      </c>
      <c r="J78" s="19">
        <f t="shared" si="28"/>
        <v>-8.9999999999999525E-3</v>
      </c>
      <c r="K78" s="19">
        <f t="shared" si="28"/>
        <v>1.7000000000000015E-2</v>
      </c>
      <c r="L78" s="19">
        <f t="shared" si="28"/>
        <v>-1.1999999999999955E-2</v>
      </c>
      <c r="M78" s="19">
        <f t="shared" si="28"/>
        <v>-2.1999999999999964E-2</v>
      </c>
      <c r="N78" s="19">
        <f t="shared" si="28"/>
        <v>5.0000000000000044E-3</v>
      </c>
    </row>
    <row r="79" spans="2:14" x14ac:dyDescent="0.25">
      <c r="B79" s="11" t="s">
        <v>186</v>
      </c>
      <c r="C79" s="19">
        <f t="shared" ref="C79:N79" si="29">(B20-$C$24)</f>
        <v>-6.9999999999999507E-3</v>
      </c>
      <c r="D79" s="19">
        <f t="shared" si="29"/>
        <v>-1.9999999999999463E-3</v>
      </c>
      <c r="E79" s="19">
        <f t="shared" si="29"/>
        <v>6.0000000000000053E-3</v>
      </c>
      <c r="F79" s="19">
        <f t="shared" si="29"/>
        <v>-1.699999999999996E-2</v>
      </c>
      <c r="G79" s="19">
        <f t="shared" si="29"/>
        <v>-2.3999999999999966E-2</v>
      </c>
      <c r="H79" s="19">
        <f t="shared" si="29"/>
        <v>1.0000000000000009E-2</v>
      </c>
      <c r="I79" s="19">
        <f t="shared" si="29"/>
        <v>-6.9999999999999507E-3</v>
      </c>
      <c r="J79" s="19">
        <f t="shared" si="29"/>
        <v>0</v>
      </c>
      <c r="K79" s="19">
        <f t="shared" si="29"/>
        <v>2.300000000000002E-2</v>
      </c>
      <c r="L79" s="19">
        <f t="shared" si="29"/>
        <v>-4.9999999999999489E-3</v>
      </c>
      <c r="M79" s="19">
        <f t="shared" si="29"/>
        <v>7.0000000000000062E-3</v>
      </c>
      <c r="N79" s="19">
        <f t="shared" si="29"/>
        <v>1.8000000000000016E-2</v>
      </c>
    </row>
    <row r="80" spans="2:14" x14ac:dyDescent="0.25">
      <c r="B80" s="11" t="s">
        <v>187</v>
      </c>
      <c r="C80" s="19">
        <f t="shared" ref="C80:N80" si="30">(B21-$C$24)</f>
        <v>-7.6760000000000002</v>
      </c>
      <c r="D80" s="19">
        <f t="shared" si="30"/>
        <v>-1.4999999999999958E-2</v>
      </c>
      <c r="E80" s="19">
        <f t="shared" si="30"/>
        <v>1.4000000000000012E-2</v>
      </c>
      <c r="F80" s="19">
        <f t="shared" si="30"/>
        <v>1.0000000000000009E-3</v>
      </c>
      <c r="G80" s="19">
        <f t="shared" si="30"/>
        <v>-5.6909999999999998</v>
      </c>
      <c r="H80" s="19">
        <f t="shared" si="30"/>
        <v>-5.7030000000000003</v>
      </c>
      <c r="I80" s="19">
        <f t="shared" si="30"/>
        <v>-4.2160000000000002</v>
      </c>
      <c r="J80" s="19">
        <f t="shared" si="30"/>
        <v>-4.4080000000000004</v>
      </c>
      <c r="K80" s="19">
        <f t="shared" si="30"/>
        <v>-6.069</v>
      </c>
      <c r="L80" s="19">
        <f t="shared" si="30"/>
        <v>-6.1689999999999996</v>
      </c>
      <c r="M80" s="19">
        <f t="shared" si="30"/>
        <v>-6.5519999999999996</v>
      </c>
      <c r="N80" s="19">
        <f t="shared" si="30"/>
        <v>-4.9939999999999998</v>
      </c>
    </row>
    <row r="81" spans="2:14" x14ac:dyDescent="0.25">
      <c r="B81" s="11" t="s">
        <v>188</v>
      </c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7"/>
    </row>
    <row r="83" spans="2:14" x14ac:dyDescent="0.25">
      <c r="D83" t="s">
        <v>217</v>
      </c>
      <c r="E83" t="s">
        <v>218</v>
      </c>
    </row>
    <row r="84" spans="2:14" x14ac:dyDescent="0.25">
      <c r="C84" t="s">
        <v>193</v>
      </c>
      <c r="D84">
        <f>AVERAGE(C74,D74)</f>
        <v>2.3500000000000021E-2</v>
      </c>
      <c r="E84">
        <f>_xlfn.STDEV.S(C74,D74)/SQRT(COUNT(C74,D74))</f>
        <v>1.0500000000000009E-2</v>
      </c>
    </row>
    <row r="85" spans="2:14" x14ac:dyDescent="0.25">
      <c r="C85" t="s">
        <v>194</v>
      </c>
      <c r="D85">
        <f>AVERAGE(F74,G74)</f>
        <v>7.4000000000000038E-2</v>
      </c>
      <c r="E85">
        <f>_xlfn.STDEV.S(F74,G74)/SQRT(COUNT(F74,G74))</f>
        <v>1.6999999999999977E-2</v>
      </c>
      <c r="F85">
        <f>D85/$C$39</f>
        <v>4.296393073170731E-4</v>
      </c>
    </row>
    <row r="86" spans="2:14" x14ac:dyDescent="0.25">
      <c r="C86" t="s">
        <v>195</v>
      </c>
      <c r="D86">
        <f>AVERAGE(J74,K74)</f>
        <v>6.6500000000000031E-2</v>
      </c>
      <c r="E86">
        <f>_xlfn.STDEV.S(J74,K74)/SQRT(COUNT(J74,K74))</f>
        <v>9.4999999999999564E-3</v>
      </c>
      <c r="F86">
        <f t="shared" ref="F86:F107" si="31">D86/$C$39</f>
        <v>3.8609478292682918E-4</v>
      </c>
    </row>
    <row r="87" spans="2:14" x14ac:dyDescent="0.25">
      <c r="C87" t="s">
        <v>196</v>
      </c>
      <c r="D87">
        <f>AVERAGE(L74,M74,N74)</f>
        <v>1.1333333333333343E-2</v>
      </c>
      <c r="E87">
        <f>_xlfn.STDEV.S(L74,M74,N74)/SQRT(COUNT(L74,M74,N74))</f>
        <v>6.0092521257733211E-3</v>
      </c>
      <c r="F87">
        <f t="shared" si="31"/>
        <v>6.5800614634146354E-5</v>
      </c>
    </row>
    <row r="88" spans="2:14" x14ac:dyDescent="0.25">
      <c r="C88" t="s">
        <v>197</v>
      </c>
      <c r="D88" s="21">
        <f>AVERAGE(C75:E75)</f>
        <v>0.38933333333333331</v>
      </c>
      <c r="E88">
        <f>_xlfn.STDEV.S(C75:E75)/SQRT(COUNT(C75:E75))</f>
        <v>3.6424960916626767E-2</v>
      </c>
      <c r="F88">
        <f t="shared" si="31"/>
        <v>2.2604446439024374E-3</v>
      </c>
    </row>
    <row r="89" spans="2:14" x14ac:dyDescent="0.25">
      <c r="C89" t="s">
        <v>198</v>
      </c>
      <c r="D89">
        <f>AVERAGE(F75:H75)</f>
        <v>0.26833333333333337</v>
      </c>
      <c r="E89">
        <f>_xlfn.STDEV.S(F75:H75)/SQRT(COUNT(F75:H75))</f>
        <v>1.6825905952165262E-2</v>
      </c>
      <c r="F89">
        <f t="shared" si="31"/>
        <v>1.5579263170731699E-3</v>
      </c>
    </row>
    <row r="90" spans="2:14" x14ac:dyDescent="0.25">
      <c r="C90" t="s">
        <v>199</v>
      </c>
      <c r="D90">
        <f>AVERAGE(I75:K75)</f>
        <v>0.11066666666666669</v>
      </c>
      <c r="E90">
        <f>_xlfn.STDEV.S(I75:K75)/SQRT(COUNT(I75:K75))</f>
        <v>2.3673707872752938E-2</v>
      </c>
      <c r="F90">
        <f t="shared" si="31"/>
        <v>6.4252364878048755E-4</v>
      </c>
    </row>
    <row r="91" spans="2:14" x14ac:dyDescent="0.25">
      <c r="C91" t="s">
        <v>200</v>
      </c>
      <c r="D91">
        <f>AVERAGE(L75,N75)</f>
        <v>1.9500000000000017E-2</v>
      </c>
      <c r="E91">
        <f>_xlfn.STDEV.S(L75,N75)/SQRT(COUNT(L75,N75))</f>
        <v>1.5000000000000013E-3</v>
      </c>
      <c r="F91">
        <f t="shared" si="31"/>
        <v>1.1321576341463418E-4</v>
      </c>
    </row>
    <row r="92" spans="2:14" x14ac:dyDescent="0.25">
      <c r="C92" t="s">
        <v>201</v>
      </c>
      <c r="D92">
        <f>AVERAGE(C76:E76)</f>
        <v>0.17966666666666672</v>
      </c>
      <c r="E92">
        <f>_xlfn.STDEV.S(C76:E76)/SQRT(COUNT(C76:E76))</f>
        <v>2.2908028675068855E-2</v>
      </c>
      <c r="F92">
        <f t="shared" si="31"/>
        <v>1.0431332731707314E-3</v>
      </c>
    </row>
    <row r="93" spans="2:14" x14ac:dyDescent="0.25">
      <c r="C93" t="s">
        <v>203</v>
      </c>
      <c r="D93" s="21">
        <f>AVERAGE(F76:H76)</f>
        <v>0.35766666666666674</v>
      </c>
      <c r="E93">
        <f>_xlfn.STDEV.S(F76:H76)/SQRT(COUNT(F76:H76))</f>
        <v>5.9571618895055897E-2</v>
      </c>
      <c r="F93">
        <f t="shared" si="31"/>
        <v>2.0765899853658529E-3</v>
      </c>
    </row>
    <row r="94" spans="2:14" x14ac:dyDescent="0.25">
      <c r="C94" t="s">
        <v>202</v>
      </c>
      <c r="D94" s="21">
        <f>AVERAGE(I76:K76)</f>
        <v>0.54866666666666675</v>
      </c>
      <c r="E94">
        <f>_xlfn.STDEV.S(I76:K76)/SQRT(COUNT(I76:K76))</f>
        <v>4.8285033337924096E-2</v>
      </c>
      <c r="F94">
        <f t="shared" si="31"/>
        <v>3.1855238731707302E-3</v>
      </c>
    </row>
    <row r="95" spans="2:14" x14ac:dyDescent="0.25">
      <c r="C95" t="s">
        <v>204</v>
      </c>
      <c r="D95" s="21">
        <f>AVERAGE(L76:N76)</f>
        <v>0.60633333333333339</v>
      </c>
      <c r="E95">
        <f>_xlfn.STDEV.S(L76:N76)/SQRT(COUNT(L76:N76))</f>
        <v>4.1862207830505566E-2</v>
      </c>
      <c r="F95">
        <f t="shared" si="31"/>
        <v>3.5203328829268273E-3</v>
      </c>
    </row>
    <row r="96" spans="2:14" x14ac:dyDescent="0.25">
      <c r="C96" t="s">
        <v>205</v>
      </c>
      <c r="D96" s="21">
        <f>AVERAGE(C77:E77)</f>
        <v>0.46800000000000003</v>
      </c>
      <c r="E96">
        <f>_xlfn.STDEV.S(C77:E77)/SQRT(COUNT(C77:E77))</f>
        <v>5.430776494511004E-2</v>
      </c>
      <c r="F96">
        <f t="shared" si="31"/>
        <v>2.7171783219512181E-3</v>
      </c>
    </row>
    <row r="97" spans="3:6" x14ac:dyDescent="0.25">
      <c r="C97" t="s">
        <v>206</v>
      </c>
      <c r="D97" s="21">
        <f>AVERAGE(F77:H77)</f>
        <v>0.4893333333333334</v>
      </c>
      <c r="E97">
        <f>_xlfn.STDEV.S(F77:H77)/SQRT(COUNT(F77:H77))</f>
        <v>9.2074848779554498E-3</v>
      </c>
      <c r="F97">
        <f t="shared" si="31"/>
        <v>2.8410383024390232E-3</v>
      </c>
    </row>
    <row r="98" spans="3:6" x14ac:dyDescent="0.25">
      <c r="C98" t="s">
        <v>207</v>
      </c>
      <c r="D98" s="21">
        <f>AVERAGE(I77:K77)</f>
        <v>0.36733333333333335</v>
      </c>
      <c r="E98">
        <f>_xlfn.STDEV.S(I77:K77)/SQRT(COUNT(I77:K77))</f>
        <v>1.3445362686732482E-2</v>
      </c>
      <c r="F98">
        <f t="shared" si="31"/>
        <v>2.1327140390243892E-3</v>
      </c>
    </row>
    <row r="99" spans="3:6" x14ac:dyDescent="0.25">
      <c r="C99" t="s">
        <v>208</v>
      </c>
      <c r="D99">
        <f>AVERAGE(L77:N77)</f>
        <v>0.27100000000000007</v>
      </c>
      <c r="E99">
        <f>_xlfn.STDEV.S(L77:N77)/SQRT(COUNT(L77:N77))</f>
        <v>1.8717193521821926E-2</v>
      </c>
      <c r="F99">
        <f t="shared" si="31"/>
        <v>1.5734088146341458E-3</v>
      </c>
    </row>
    <row r="100" spans="3:6" x14ac:dyDescent="0.25">
      <c r="C100" t="s">
        <v>209</v>
      </c>
      <c r="D100">
        <f>AVERAGE(C78:D78)</f>
        <v>0.13550000000000004</v>
      </c>
      <c r="E100">
        <f>_xlfn.STDEV.S(C78:D78)/SQRT(COUNT(C78:D78))</f>
        <v>4.0500000000000029E-2</v>
      </c>
      <c r="F100">
        <f t="shared" si="31"/>
        <v>7.8670440731707291E-4</v>
      </c>
    </row>
    <row r="101" spans="3:6" x14ac:dyDescent="0.25">
      <c r="C101" t="s">
        <v>210</v>
      </c>
      <c r="D101">
        <f>AVERAGE(F78:H78)</f>
        <v>2.4666666666666687E-2</v>
      </c>
      <c r="E101">
        <f>_xlfn.STDEV.S(F78:H78)/SQRT(COUNT(F78:H78))</f>
        <v>1.6230971765253149E-2</v>
      </c>
      <c r="F101">
        <f t="shared" si="31"/>
        <v>1.4321310243902441E-4</v>
      </c>
    </row>
    <row r="102" spans="3:6" x14ac:dyDescent="0.25">
      <c r="C102" t="s">
        <v>211</v>
      </c>
      <c r="D102">
        <f>AVERAGE(K78)</f>
        <v>1.7000000000000015E-2</v>
      </c>
      <c r="E102" t="e">
        <f>_xlfn.STDEV.S(K78)/SQRT(COUNT(K78))</f>
        <v>#DIV/0!</v>
      </c>
      <c r="F102">
        <f t="shared" si="31"/>
        <v>9.8700921951219538E-5</v>
      </c>
    </row>
    <row r="103" spans="3:6" x14ac:dyDescent="0.25">
      <c r="C103" t="s">
        <v>212</v>
      </c>
      <c r="D103">
        <f>AVERAGE(N78)</f>
        <v>5.0000000000000044E-3</v>
      </c>
      <c r="E103" t="e">
        <f t="shared" ref="E103:E105" si="32">_xlfn.STDEV.S(C93,D93)/SQRT(COUNT(C93,D93))</f>
        <v>#DIV/0!</v>
      </c>
      <c r="F103">
        <f t="shared" si="31"/>
        <v>2.9029682926829277E-5</v>
      </c>
    </row>
    <row r="104" spans="3:6" x14ac:dyDescent="0.25">
      <c r="C104" t="s">
        <v>213</v>
      </c>
      <c r="D104">
        <f>AVERAGE(E79)</f>
        <v>6.0000000000000053E-3</v>
      </c>
      <c r="E104" t="e">
        <f t="shared" si="32"/>
        <v>#DIV/0!</v>
      </c>
      <c r="F104">
        <f t="shared" si="31"/>
        <v>3.4835619512195132E-5</v>
      </c>
    </row>
    <row r="105" spans="3:6" x14ac:dyDescent="0.25">
      <c r="C105" t="s">
        <v>214</v>
      </c>
      <c r="D105">
        <f>AVERAGE(H79)</f>
        <v>1.0000000000000009E-2</v>
      </c>
      <c r="E105" t="e">
        <f t="shared" si="32"/>
        <v>#DIV/0!</v>
      </c>
      <c r="F105">
        <f t="shared" si="31"/>
        <v>5.8059365853658554E-5</v>
      </c>
    </row>
    <row r="106" spans="3:6" x14ac:dyDescent="0.25">
      <c r="C106" t="s">
        <v>215</v>
      </c>
      <c r="D106">
        <f>AVERAGE(K79)</f>
        <v>2.300000000000002E-2</v>
      </c>
      <c r="E106">
        <f>_xlfn.STDEV.S(I79:K79)/SQRT(COUNT(I79:K79))</f>
        <v>9.0615181460454528E-3</v>
      </c>
      <c r="F106">
        <f t="shared" si="31"/>
        <v>1.3353654146341468E-4</v>
      </c>
    </row>
    <row r="107" spans="3:6" x14ac:dyDescent="0.25">
      <c r="C107" t="s">
        <v>216</v>
      </c>
      <c r="D107">
        <f>AVERAGE(M79:N79)</f>
        <v>1.2500000000000011E-2</v>
      </c>
      <c r="E107">
        <f>_xlfn.STDEV.S(M79:N79)/SQRT(COUNT(M79:N79))</f>
        <v>5.5000000000000049E-3</v>
      </c>
      <c r="F107">
        <f t="shared" si="31"/>
        <v>7.257420731707319E-5</v>
      </c>
    </row>
    <row r="110" spans="3:6" x14ac:dyDescent="0.25">
      <c r="D110">
        <f>MAX(D84:D109)</f>
        <v>0.60633333333333339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"/>
  <sheetViews>
    <sheetView topLeftCell="A4" workbookViewId="0">
      <selection activeCell="C10" sqref="C10"/>
    </sheetView>
  </sheetViews>
  <sheetFormatPr baseColWidth="10" defaultColWidth="8.8554687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  <c r="D7" t="s">
        <v>7</v>
      </c>
      <c r="H7" t="s">
        <v>8</v>
      </c>
    </row>
    <row r="10" spans="1:8" ht="45.75" thickBot="1" x14ac:dyDescent="0.3">
      <c r="A10" s="1" t="s">
        <v>9</v>
      </c>
      <c r="B10" s="8" t="s">
        <v>10</v>
      </c>
      <c r="C10" s="5" t="s">
        <v>11</v>
      </c>
    </row>
    <row r="11" spans="1:8" x14ac:dyDescent="0.25">
      <c r="A11" s="2" t="s">
        <v>12</v>
      </c>
      <c r="B11" s="9" t="s">
        <v>13</v>
      </c>
      <c r="C11" s="6">
        <v>0.316</v>
      </c>
    </row>
    <row r="12" spans="1:8" x14ac:dyDescent="0.25">
      <c r="A12" s="3" t="s">
        <v>14</v>
      </c>
      <c r="B12" s="10" t="s">
        <v>15</v>
      </c>
      <c r="C12" s="7">
        <v>0.29499999999999998</v>
      </c>
    </row>
    <row r="13" spans="1:8" x14ac:dyDescent="0.25">
      <c r="A13" s="3" t="s">
        <v>16</v>
      </c>
      <c r="B13" s="10" t="s">
        <v>17</v>
      </c>
      <c r="C13" s="7">
        <v>-6.2560000000000002</v>
      </c>
    </row>
    <row r="14" spans="1:8" x14ac:dyDescent="0.25">
      <c r="A14" s="3" t="s">
        <v>18</v>
      </c>
      <c r="B14" s="10" t="s">
        <v>19</v>
      </c>
      <c r="C14" s="7">
        <v>0.373</v>
      </c>
    </row>
    <row r="15" spans="1:8" x14ac:dyDescent="0.25">
      <c r="A15" s="3" t="s">
        <v>20</v>
      </c>
      <c r="B15" s="10" t="s">
        <v>21</v>
      </c>
      <c r="C15" s="7">
        <v>0.33900000000000002</v>
      </c>
    </row>
    <row r="16" spans="1:8" x14ac:dyDescent="0.25">
      <c r="A16" s="3" t="s">
        <v>22</v>
      </c>
      <c r="B16" s="10" t="s">
        <v>23</v>
      </c>
      <c r="C16" s="7">
        <v>-5.2539999999999996</v>
      </c>
    </row>
    <row r="17" spans="1:3" x14ac:dyDescent="0.25">
      <c r="A17" s="3" t="s">
        <v>24</v>
      </c>
      <c r="B17" s="10" t="s">
        <v>25</v>
      </c>
      <c r="C17" s="7">
        <v>0.26300000000000001</v>
      </c>
    </row>
    <row r="18" spans="1:3" x14ac:dyDescent="0.25">
      <c r="A18" s="3" t="s">
        <v>26</v>
      </c>
      <c r="B18" s="10" t="s">
        <v>27</v>
      </c>
      <c r="C18" s="7">
        <v>0.33900000000000002</v>
      </c>
    </row>
    <row r="19" spans="1:3" x14ac:dyDescent="0.25">
      <c r="A19" s="3" t="s">
        <v>28</v>
      </c>
      <c r="B19" s="10" t="s">
        <v>29</v>
      </c>
      <c r="C19" s="7">
        <v>0.35799999999999998</v>
      </c>
    </row>
    <row r="20" spans="1:3" x14ac:dyDescent="0.25">
      <c r="A20" s="3" t="s">
        <v>30</v>
      </c>
      <c r="B20" s="10" t="s">
        <v>31</v>
      </c>
      <c r="C20" s="7">
        <v>0.30499999999999999</v>
      </c>
    </row>
    <row r="21" spans="1:3" x14ac:dyDescent="0.25">
      <c r="A21" s="3" t="s">
        <v>32</v>
      </c>
      <c r="B21" s="10" t="s">
        <v>33</v>
      </c>
      <c r="C21" s="7">
        <v>0.28999999999999998</v>
      </c>
    </row>
    <row r="22" spans="1:3" x14ac:dyDescent="0.25">
      <c r="A22" s="3" t="s">
        <v>34</v>
      </c>
      <c r="B22" s="10" t="s">
        <v>35</v>
      </c>
      <c r="C22" s="7">
        <v>0.28499999999999998</v>
      </c>
    </row>
    <row r="23" spans="1:3" x14ac:dyDescent="0.25">
      <c r="A23" s="3" t="s">
        <v>36</v>
      </c>
      <c r="B23" s="10" t="s">
        <v>37</v>
      </c>
      <c r="C23" s="7">
        <v>0.59899999999999998</v>
      </c>
    </row>
    <row r="24" spans="1:3" x14ac:dyDescent="0.25">
      <c r="A24" s="3" t="s">
        <v>38</v>
      </c>
      <c r="B24" s="10" t="s">
        <v>39</v>
      </c>
      <c r="C24" s="7">
        <v>0.71499999999999997</v>
      </c>
    </row>
    <row r="25" spans="1:3" x14ac:dyDescent="0.25">
      <c r="A25" s="3" t="s">
        <v>40</v>
      </c>
      <c r="B25" s="10" t="s">
        <v>41</v>
      </c>
      <c r="C25" s="7">
        <v>0.7</v>
      </c>
    </row>
    <row r="26" spans="1:3" x14ac:dyDescent="0.25">
      <c r="A26" s="3" t="s">
        <v>42</v>
      </c>
      <c r="B26" s="10" t="s">
        <v>43</v>
      </c>
      <c r="C26" s="7">
        <v>0.58299999999999996</v>
      </c>
    </row>
    <row r="27" spans="1:3" x14ac:dyDescent="0.25">
      <c r="A27" s="3" t="s">
        <v>44</v>
      </c>
      <c r="B27" s="10" t="s">
        <v>45</v>
      </c>
      <c r="C27" s="7">
        <v>0.52700000000000002</v>
      </c>
    </row>
    <row r="28" spans="1:3" x14ac:dyDescent="0.25">
      <c r="A28" s="3" t="s">
        <v>46</v>
      </c>
      <c r="B28" s="10" t="s">
        <v>47</v>
      </c>
      <c r="C28" s="7">
        <v>0.54100000000000004</v>
      </c>
    </row>
    <row r="29" spans="1:3" x14ac:dyDescent="0.25">
      <c r="A29" s="3" t="s">
        <v>48</v>
      </c>
      <c r="B29" s="10" t="s">
        <v>49</v>
      </c>
      <c r="C29" s="7">
        <v>0.434</v>
      </c>
    </row>
    <row r="30" spans="1:3" x14ac:dyDescent="0.25">
      <c r="A30" s="3" t="s">
        <v>50</v>
      </c>
      <c r="B30" s="10" t="s">
        <v>51</v>
      </c>
      <c r="C30" s="7">
        <v>0.35199999999999998</v>
      </c>
    </row>
    <row r="31" spans="1:3" x14ac:dyDescent="0.25">
      <c r="A31" s="3" t="s">
        <v>52</v>
      </c>
      <c r="B31" s="10" t="s">
        <v>53</v>
      </c>
      <c r="C31" s="7">
        <v>0.39200000000000002</v>
      </c>
    </row>
    <row r="32" spans="1:3" x14ac:dyDescent="0.25">
      <c r="A32" s="3" t="s">
        <v>54</v>
      </c>
      <c r="B32" s="10" t="s">
        <v>55</v>
      </c>
      <c r="C32" s="7">
        <v>0.3</v>
      </c>
    </row>
    <row r="33" spans="1:3" x14ac:dyDescent="0.25">
      <c r="A33" s="3" t="s">
        <v>56</v>
      </c>
      <c r="B33" s="10" t="s">
        <v>57</v>
      </c>
      <c r="C33" s="7">
        <v>0.28100000000000003</v>
      </c>
    </row>
    <row r="34" spans="1:3" x14ac:dyDescent="0.25">
      <c r="A34" s="3" t="s">
        <v>58</v>
      </c>
      <c r="B34" s="10" t="s">
        <v>59</v>
      </c>
      <c r="C34" s="7">
        <v>0.30299999999999999</v>
      </c>
    </row>
    <row r="35" spans="1:3" x14ac:dyDescent="0.25">
      <c r="A35" s="3" t="s">
        <v>60</v>
      </c>
      <c r="B35" s="10" t="s">
        <v>61</v>
      </c>
      <c r="C35" s="7">
        <v>0.499</v>
      </c>
    </row>
    <row r="36" spans="1:3" x14ac:dyDescent="0.25">
      <c r="A36" s="3" t="s">
        <v>62</v>
      </c>
      <c r="B36" s="10" t="s">
        <v>63</v>
      </c>
      <c r="C36" s="7">
        <v>0.46600000000000003</v>
      </c>
    </row>
    <row r="37" spans="1:3" x14ac:dyDescent="0.25">
      <c r="A37" s="3" t="s">
        <v>64</v>
      </c>
      <c r="B37" s="10" t="s">
        <v>65</v>
      </c>
      <c r="C37" s="7">
        <v>0.42</v>
      </c>
    </row>
    <row r="38" spans="1:3" x14ac:dyDescent="0.25">
      <c r="A38" s="3" t="s">
        <v>66</v>
      </c>
      <c r="B38" s="10" t="s">
        <v>67</v>
      </c>
      <c r="C38" s="7">
        <v>0.54400000000000004</v>
      </c>
    </row>
    <row r="39" spans="1:3" x14ac:dyDescent="0.25">
      <c r="A39" s="3" t="s">
        <v>68</v>
      </c>
      <c r="B39" s="10" t="s">
        <v>69</v>
      </c>
      <c r="C39" s="7">
        <v>0.626</v>
      </c>
    </row>
    <row r="40" spans="1:3" x14ac:dyDescent="0.25">
      <c r="A40" s="3" t="s">
        <v>70</v>
      </c>
      <c r="B40" s="10" t="s">
        <v>71</v>
      </c>
      <c r="C40" s="7">
        <v>0.749</v>
      </c>
    </row>
    <row r="41" spans="1:3" x14ac:dyDescent="0.25">
      <c r="A41" s="3" t="s">
        <v>72</v>
      </c>
      <c r="B41" s="10" t="s">
        <v>73</v>
      </c>
      <c r="C41" s="7">
        <v>0.76</v>
      </c>
    </row>
    <row r="42" spans="1:3" x14ac:dyDescent="0.25">
      <c r="A42" s="3" t="s">
        <v>74</v>
      </c>
      <c r="B42" s="10" t="s">
        <v>75</v>
      </c>
      <c r="C42" s="7">
        <v>0.80900000000000005</v>
      </c>
    </row>
    <row r="43" spans="1:3" x14ac:dyDescent="0.25">
      <c r="A43" s="3" t="s">
        <v>76</v>
      </c>
      <c r="B43" s="10" t="s">
        <v>77</v>
      </c>
      <c r="C43" s="7">
        <v>0.92300000000000004</v>
      </c>
    </row>
    <row r="44" spans="1:3" x14ac:dyDescent="0.25">
      <c r="A44" s="3" t="s">
        <v>78</v>
      </c>
      <c r="B44" s="10" t="s">
        <v>79</v>
      </c>
      <c r="C44" s="7">
        <v>0.92300000000000004</v>
      </c>
    </row>
    <row r="45" spans="1:3" x14ac:dyDescent="0.25">
      <c r="A45" s="3" t="s">
        <v>80</v>
      </c>
      <c r="B45" s="10" t="s">
        <v>81</v>
      </c>
      <c r="C45" s="7">
        <v>0.93700000000000006</v>
      </c>
    </row>
    <row r="46" spans="1:3" x14ac:dyDescent="0.25">
      <c r="A46" s="3" t="s">
        <v>82</v>
      </c>
      <c r="B46" s="10" t="s">
        <v>83</v>
      </c>
      <c r="C46" s="7">
        <v>0.80500000000000005</v>
      </c>
    </row>
    <row r="47" spans="1:3" x14ac:dyDescent="0.25">
      <c r="A47" s="3" t="s">
        <v>84</v>
      </c>
      <c r="B47" s="10" t="s">
        <v>85</v>
      </c>
      <c r="C47" s="7">
        <v>0.64200000000000002</v>
      </c>
    </row>
    <row r="48" spans="1:3" x14ac:dyDescent="0.25">
      <c r="A48" s="3" t="s">
        <v>86</v>
      </c>
      <c r="B48" s="10" t="s">
        <v>87</v>
      </c>
      <c r="C48" s="7">
        <v>0.79400000000000004</v>
      </c>
    </row>
    <row r="49" spans="1:3" x14ac:dyDescent="0.25">
      <c r="A49" s="3" t="s">
        <v>88</v>
      </c>
      <c r="B49" s="10" t="s">
        <v>89</v>
      </c>
      <c r="C49" s="7">
        <v>0.81399999999999995</v>
      </c>
    </row>
    <row r="50" spans="1:3" x14ac:dyDescent="0.25">
      <c r="A50" s="3" t="s">
        <v>90</v>
      </c>
      <c r="B50" s="10" t="s">
        <v>91</v>
      </c>
      <c r="C50" s="7">
        <v>0.78900000000000003</v>
      </c>
    </row>
    <row r="51" spans="1:3" x14ac:dyDescent="0.25">
      <c r="A51" s="3" t="s">
        <v>92</v>
      </c>
      <c r="B51" s="10" t="s">
        <v>93</v>
      </c>
      <c r="C51" s="7">
        <v>0.76700000000000002</v>
      </c>
    </row>
    <row r="52" spans="1:3" x14ac:dyDescent="0.25">
      <c r="A52" s="3" t="s">
        <v>94</v>
      </c>
      <c r="B52" s="10" t="s">
        <v>95</v>
      </c>
      <c r="C52" s="7">
        <v>0.75800000000000001</v>
      </c>
    </row>
    <row r="53" spans="1:3" x14ac:dyDescent="0.25">
      <c r="A53" s="3" t="s">
        <v>96</v>
      </c>
      <c r="B53" s="10" t="s">
        <v>97</v>
      </c>
      <c r="C53" s="7">
        <v>0.67600000000000005</v>
      </c>
    </row>
    <row r="54" spans="1:3" x14ac:dyDescent="0.25">
      <c r="A54" s="3" t="s">
        <v>98</v>
      </c>
      <c r="B54" s="10" t="s">
        <v>99</v>
      </c>
      <c r="C54" s="7">
        <v>0.63900000000000001</v>
      </c>
    </row>
    <row r="55" spans="1:3" x14ac:dyDescent="0.25">
      <c r="A55" s="3" t="s">
        <v>100</v>
      </c>
      <c r="B55" s="10" t="s">
        <v>101</v>
      </c>
      <c r="C55" s="7">
        <v>0.63300000000000001</v>
      </c>
    </row>
    <row r="56" spans="1:3" x14ac:dyDescent="0.25">
      <c r="A56" s="3" t="s">
        <v>102</v>
      </c>
      <c r="B56" s="10" t="s">
        <v>103</v>
      </c>
      <c r="C56" s="7">
        <v>0.54700000000000004</v>
      </c>
    </row>
    <row r="57" spans="1:3" x14ac:dyDescent="0.25">
      <c r="A57" s="3" t="s">
        <v>104</v>
      </c>
      <c r="B57" s="10" t="s">
        <v>105</v>
      </c>
      <c r="C57" s="7">
        <v>0.52400000000000002</v>
      </c>
    </row>
    <row r="58" spans="1:3" x14ac:dyDescent="0.25">
      <c r="A58" s="3" t="s">
        <v>106</v>
      </c>
      <c r="B58" s="10" t="s">
        <v>107</v>
      </c>
      <c r="C58" s="7">
        <v>0.58799999999999997</v>
      </c>
    </row>
    <row r="59" spans="1:3" x14ac:dyDescent="0.25">
      <c r="A59" s="3" t="s">
        <v>108</v>
      </c>
      <c r="B59" s="10" t="s">
        <v>109</v>
      </c>
      <c r="C59" s="7">
        <v>0.45800000000000002</v>
      </c>
    </row>
    <row r="60" spans="1:3" x14ac:dyDescent="0.25">
      <c r="A60" s="3" t="s">
        <v>110</v>
      </c>
      <c r="B60" s="10" t="s">
        <v>111</v>
      </c>
      <c r="C60" s="7">
        <v>0.377</v>
      </c>
    </row>
    <row r="61" spans="1:3" x14ac:dyDescent="0.25">
      <c r="A61" s="3" t="s">
        <v>112</v>
      </c>
      <c r="B61" s="10" t="s">
        <v>113</v>
      </c>
      <c r="C61" s="7" t="s">
        <v>114</v>
      </c>
    </row>
    <row r="62" spans="1:3" x14ac:dyDescent="0.25">
      <c r="A62" s="3" t="s">
        <v>115</v>
      </c>
      <c r="B62" s="10" t="s">
        <v>116</v>
      </c>
      <c r="C62" s="7">
        <v>0.33900000000000002</v>
      </c>
    </row>
    <row r="63" spans="1:3" x14ac:dyDescent="0.25">
      <c r="A63" s="3" t="s">
        <v>117</v>
      </c>
      <c r="B63" s="10" t="s">
        <v>118</v>
      </c>
      <c r="C63" s="7">
        <v>0.28799999999999998</v>
      </c>
    </row>
    <row r="64" spans="1:3" x14ac:dyDescent="0.25">
      <c r="A64" s="3" t="s">
        <v>119</v>
      </c>
      <c r="B64" s="10" t="s">
        <v>120</v>
      </c>
      <c r="C64" s="7">
        <v>0.29299999999999998</v>
      </c>
    </row>
    <row r="65" spans="1:3" x14ac:dyDescent="0.25">
      <c r="A65" s="3" t="s">
        <v>121</v>
      </c>
      <c r="B65" s="10" t="s">
        <v>122</v>
      </c>
      <c r="C65" s="7">
        <v>0.27</v>
      </c>
    </row>
    <row r="66" spans="1:3" x14ac:dyDescent="0.25">
      <c r="A66" s="3" t="s">
        <v>123</v>
      </c>
      <c r="B66" s="10" t="s">
        <v>124</v>
      </c>
      <c r="C66" s="7">
        <v>0.27300000000000002</v>
      </c>
    </row>
    <row r="67" spans="1:3" x14ac:dyDescent="0.25">
      <c r="A67" s="3" t="s">
        <v>125</v>
      </c>
      <c r="B67" s="10" t="s">
        <v>126</v>
      </c>
      <c r="C67" s="7">
        <v>0.29899999999999999</v>
      </c>
    </row>
    <row r="68" spans="1:3" x14ac:dyDescent="0.25">
      <c r="A68" s="3" t="s">
        <v>127</v>
      </c>
      <c r="B68" s="10" t="s">
        <v>128</v>
      </c>
      <c r="C68" s="7">
        <v>0.27</v>
      </c>
    </row>
    <row r="69" spans="1:3" x14ac:dyDescent="0.25">
      <c r="A69" s="3" t="s">
        <v>129</v>
      </c>
      <c r="B69" s="10" t="s">
        <v>130</v>
      </c>
      <c r="C69" s="7">
        <v>0.26</v>
      </c>
    </row>
    <row r="70" spans="1:3" x14ac:dyDescent="0.25">
      <c r="A70" s="3" t="s">
        <v>131</v>
      </c>
      <c r="B70" s="10" t="s">
        <v>132</v>
      </c>
      <c r="C70" s="7">
        <v>0.28699999999999998</v>
      </c>
    </row>
    <row r="71" spans="1:3" x14ac:dyDescent="0.25">
      <c r="A71" s="3" t="s">
        <v>133</v>
      </c>
      <c r="B71" s="10" t="s">
        <v>134</v>
      </c>
      <c r="C71" s="7">
        <v>0.27500000000000002</v>
      </c>
    </row>
    <row r="72" spans="1:3" x14ac:dyDescent="0.25">
      <c r="A72" s="3" t="s">
        <v>135</v>
      </c>
      <c r="B72" s="10" t="s">
        <v>136</v>
      </c>
      <c r="C72" s="7">
        <v>0.28000000000000003</v>
      </c>
    </row>
    <row r="73" spans="1:3" x14ac:dyDescent="0.25">
      <c r="A73" s="3" t="s">
        <v>137</v>
      </c>
      <c r="B73" s="10" t="s">
        <v>138</v>
      </c>
      <c r="C73" s="7">
        <v>0.28799999999999998</v>
      </c>
    </row>
    <row r="74" spans="1:3" x14ac:dyDescent="0.25">
      <c r="A74" s="3" t="s">
        <v>139</v>
      </c>
      <c r="B74" s="10" t="s">
        <v>140</v>
      </c>
      <c r="C74" s="7">
        <v>0.26500000000000001</v>
      </c>
    </row>
    <row r="75" spans="1:3" x14ac:dyDescent="0.25">
      <c r="A75" s="3" t="s">
        <v>141</v>
      </c>
      <c r="B75" s="10" t="s">
        <v>142</v>
      </c>
      <c r="C75" s="7">
        <v>0.25800000000000001</v>
      </c>
    </row>
    <row r="76" spans="1:3" x14ac:dyDescent="0.25">
      <c r="A76" s="3" t="s">
        <v>143</v>
      </c>
      <c r="B76" s="10" t="s">
        <v>144</v>
      </c>
      <c r="C76" s="7">
        <v>0.29199999999999998</v>
      </c>
    </row>
    <row r="77" spans="1:3" x14ac:dyDescent="0.25">
      <c r="A77" s="3" t="s">
        <v>145</v>
      </c>
      <c r="B77" s="10" t="s">
        <v>146</v>
      </c>
      <c r="C77" s="7">
        <v>0.27500000000000002</v>
      </c>
    </row>
    <row r="78" spans="1:3" x14ac:dyDescent="0.25">
      <c r="A78" s="3" t="s">
        <v>147</v>
      </c>
      <c r="B78" s="10" t="s">
        <v>148</v>
      </c>
      <c r="C78" s="7">
        <v>0.28199999999999997</v>
      </c>
    </row>
    <row r="79" spans="1:3" x14ac:dyDescent="0.25">
      <c r="A79" s="3" t="s">
        <v>149</v>
      </c>
      <c r="B79" s="10" t="s">
        <v>150</v>
      </c>
      <c r="C79" s="7">
        <v>0.30499999999999999</v>
      </c>
    </row>
    <row r="80" spans="1:3" x14ac:dyDescent="0.25">
      <c r="A80" s="3" t="s">
        <v>151</v>
      </c>
      <c r="B80" s="10" t="s">
        <v>152</v>
      </c>
      <c r="C80" s="7">
        <v>0.27700000000000002</v>
      </c>
    </row>
    <row r="81" spans="1:3" x14ac:dyDescent="0.25">
      <c r="A81" s="3" t="s">
        <v>153</v>
      </c>
      <c r="B81" s="10" t="s">
        <v>154</v>
      </c>
      <c r="C81" s="7">
        <v>0.28899999999999998</v>
      </c>
    </row>
    <row r="82" spans="1:3" x14ac:dyDescent="0.25">
      <c r="A82" s="3" t="s">
        <v>155</v>
      </c>
      <c r="B82" s="10" t="s">
        <v>156</v>
      </c>
      <c r="C82" s="7">
        <v>0.3</v>
      </c>
    </row>
    <row r="83" spans="1:3" x14ac:dyDescent="0.25">
      <c r="A83" s="3" t="s">
        <v>157</v>
      </c>
      <c r="B83" s="10" t="s">
        <v>158</v>
      </c>
      <c r="C83" s="7">
        <v>-7.3940000000000001</v>
      </c>
    </row>
    <row r="84" spans="1:3" x14ac:dyDescent="0.25">
      <c r="A84" s="3" t="s">
        <v>159</v>
      </c>
      <c r="B84" s="10" t="s">
        <v>160</v>
      </c>
      <c r="C84" s="7">
        <v>0.26700000000000002</v>
      </c>
    </row>
    <row r="85" spans="1:3" x14ac:dyDescent="0.25">
      <c r="A85" s="3" t="s">
        <v>161</v>
      </c>
      <c r="B85" s="10" t="s">
        <v>162</v>
      </c>
      <c r="C85" s="7">
        <v>0.29599999999999999</v>
      </c>
    </row>
    <row r="86" spans="1:3" x14ac:dyDescent="0.25">
      <c r="A86" s="3" t="s">
        <v>163</v>
      </c>
      <c r="B86" s="10" t="s">
        <v>164</v>
      </c>
      <c r="C86" s="7">
        <v>0.28299999999999997</v>
      </c>
    </row>
    <row r="87" spans="1:3" x14ac:dyDescent="0.25">
      <c r="A87" s="3" t="s">
        <v>165</v>
      </c>
      <c r="B87" s="10" t="s">
        <v>166</v>
      </c>
      <c r="C87" s="7">
        <v>-5.4089999999999998</v>
      </c>
    </row>
    <row r="88" spans="1:3" x14ac:dyDescent="0.25">
      <c r="A88" s="3" t="s">
        <v>167</v>
      </c>
      <c r="B88" s="10" t="s">
        <v>168</v>
      </c>
      <c r="C88" s="7">
        <v>-5.4210000000000003</v>
      </c>
    </row>
    <row r="89" spans="1:3" x14ac:dyDescent="0.25">
      <c r="A89" s="3" t="s">
        <v>169</v>
      </c>
      <c r="B89" s="10" t="s">
        <v>170</v>
      </c>
      <c r="C89" s="7">
        <v>-3.9340000000000002</v>
      </c>
    </row>
    <row r="90" spans="1:3" x14ac:dyDescent="0.25">
      <c r="A90" s="3" t="s">
        <v>171</v>
      </c>
      <c r="B90" s="10" t="s">
        <v>172</v>
      </c>
      <c r="C90" s="7">
        <v>-4.1260000000000003</v>
      </c>
    </row>
    <row r="91" spans="1:3" x14ac:dyDescent="0.25">
      <c r="A91" s="3" t="s">
        <v>173</v>
      </c>
      <c r="B91" s="10" t="s">
        <v>174</v>
      </c>
      <c r="C91" s="7">
        <v>-5.7869999999999999</v>
      </c>
    </row>
    <row r="92" spans="1:3" x14ac:dyDescent="0.25">
      <c r="A92" s="3" t="s">
        <v>175</v>
      </c>
      <c r="B92" s="10" t="s">
        <v>176</v>
      </c>
      <c r="C92" s="7">
        <v>-5.8869999999999996</v>
      </c>
    </row>
    <row r="93" spans="1:3" x14ac:dyDescent="0.25">
      <c r="A93" s="3" t="s">
        <v>177</v>
      </c>
      <c r="B93" s="10" t="s">
        <v>178</v>
      </c>
      <c r="C93" s="7">
        <v>-6.27</v>
      </c>
    </row>
    <row r="94" spans="1:3" x14ac:dyDescent="0.25">
      <c r="A94" s="3" t="s">
        <v>179</v>
      </c>
      <c r="B94" s="10" t="s">
        <v>180</v>
      </c>
      <c r="C94" s="7">
        <v>-4.7119999999999997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Microplate End point</vt:lpstr>
      <vt:lpstr>Table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Arthur Hehner</cp:lastModifiedBy>
  <dcterms:created xsi:type="dcterms:W3CDTF">2026-10-05T16:29:44Z</dcterms:created>
  <dcterms:modified xsi:type="dcterms:W3CDTF">2026-10-10T13:22:55Z</dcterms:modified>
</cp:coreProperties>
</file>